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168.5.14\CustomerPro\FBI\DQC\FBISP2421\App_Data\Controllers\Templates\Excel\"/>
    </mc:Choice>
  </mc:AlternateContent>
  <bookViews>
    <workbookView xWindow="0" yWindow="0" windowWidth="28800" windowHeight="11730"/>
  </bookViews>
  <sheets>
    <sheet name="Main" sheetId="5" r:id="rId1"/>
  </sheets>
  <definedNames>
    <definedName name="_xlnm.Print_Area" localSheetId="0">Main!$A$1:$N$41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0" i="5" l="1"/>
  <c r="J30" i="5"/>
  <c r="G13" i="5" l="1"/>
  <c r="G11" i="5"/>
  <c r="D13" i="5"/>
  <c r="D11" i="5"/>
  <c r="J11" i="5"/>
  <c r="J27" i="5"/>
  <c r="J33" i="5"/>
  <c r="L33" i="5"/>
  <c r="L27" i="5"/>
</calcChain>
</file>

<file path=xl/sharedStrings.xml><?xml version="1.0" encoding="utf-8"?>
<sst xmlns="http://schemas.openxmlformats.org/spreadsheetml/2006/main" count="71" uniqueCount="66">
  <si>
    <t>STT</t>
  </si>
  <si>
    <t>ĐVT</t>
  </si>
  <si>
    <t>Đơn vị:</t>
  </si>
  <si>
    <t>PHÊ DUYỆT - CHỦ TỊCH</t>
  </si>
  <si>
    <t>Trưởng đơn vị</t>
  </si>
  <si>
    <t>ERP</t>
  </si>
  <si>
    <t>ĐM/1000 SP</t>
  </si>
  <si>
    <t>Giá mua</t>
  </si>
  <si>
    <t>Lãi gộp</t>
  </si>
  <si>
    <t>Giá xuất xưởng</t>
  </si>
  <si>
    <t>Giá bán</t>
  </si>
  <si>
    <t>Danh Mục Vật Tư</t>
  </si>
  <si>
    <t>Phương án giá</t>
  </si>
  <si>
    <t>Người lập biểu</t>
  </si>
  <si>
    <t xml:space="preserve">Ngày </t>
  </si>
  <si>
    <t>Ngày</t>
  </si>
  <si>
    <t>?Entity_Line2</t>
  </si>
  <si>
    <t>!1.loai_hinh</t>
  </si>
  <si>
    <t>#2. Điều kiện giao hàng :  + + !1.dk_gh</t>
  </si>
  <si>
    <t>#3.Thời gian giao hàng:  + + !1.tg_gh</t>
  </si>
  <si>
    <r>
      <rPr>
        <b/>
        <sz val="12"/>
        <color rgb="FF000000"/>
        <rFont val="Times New Roman"/>
        <family val="1"/>
      </rPr>
      <t>#4. (*) Hiệu quả kinh doanh:</t>
    </r>
    <r>
      <rPr>
        <sz val="12"/>
        <color rgb="FF000000"/>
        <rFont val="Times New Roman"/>
        <family val="1"/>
      </rPr>
      <t xml:space="preserve"> + + !1.hq_kd</t>
    </r>
  </si>
  <si>
    <t>!1.pt_tt</t>
  </si>
  <si>
    <t>!1.nd_dac_biet</t>
  </si>
  <si>
    <t>#Nhân viên đề nghị : + + !1.nhan_vien_dn</t>
  </si>
  <si>
    <t>#Tên Khách hàng: + + !1.ten_kh</t>
  </si>
  <si>
    <t>!2.ma_vt</t>
  </si>
  <si>
    <t>!2.ten_dv</t>
  </si>
  <si>
    <t>!2.dvt</t>
  </si>
  <si>
    <t>!2.so_luong</t>
  </si>
  <si>
    <t>!2.gia</t>
  </si>
  <si>
    <t>!2.tien</t>
  </si>
  <si>
    <t>!2.ghi_chu</t>
  </si>
  <si>
    <t>!3.ten_ty_gia</t>
  </si>
  <si>
    <t>!3.ty_gia</t>
  </si>
  <si>
    <t>!1.gia_xuong</t>
  </si>
  <si>
    <t>!1.gia_ban</t>
  </si>
  <si>
    <t>!1.tl_lai_gop</t>
  </si>
  <si>
    <t>Có:</t>
  </si>
  <si>
    <t>Không:</t>
  </si>
  <si>
    <r>
      <rPr>
        <b/>
        <sz val="12"/>
        <rFont val="Times New Roman"/>
        <family val="1"/>
      </rPr>
      <t xml:space="preserve">5. Phương thức thanh toán: Phù hợp với quy định về thanh toán của Công ty </t>
    </r>
    <r>
      <rPr>
        <sz val="12"/>
        <rFont val="Times New Roman"/>
        <family val="1"/>
      </rPr>
      <t xml:space="preserve">                           
Nếu không (mô tả phương thức thanh toán): </t>
    </r>
  </si>
  <si>
    <t xml:space="preserve">6. Các nội dung đặc biệt cần lưu ý (nếu có xin nêu rõ) :  </t>
  </si>
  <si>
    <t>SẢN XUẤT</t>
  </si>
  <si>
    <t>GIA CÔNG</t>
  </si>
  <si>
    <t>THƯƠNG MẠI</t>
  </si>
  <si>
    <t>PHÂN PHỐI</t>
  </si>
  <si>
    <t>1. Loại hình hợp tác:</t>
  </si>
  <si>
    <t>KHÁC</t>
  </si>
  <si>
    <t>DQ-B2O-PR-0.69F1
Rev: 02</t>
  </si>
  <si>
    <t>!1.cach_tinh_lvc</t>
  </si>
  <si>
    <t>LVC</t>
  </si>
  <si>
    <t>Ghi chú</t>
  </si>
  <si>
    <t xml:space="preserve">6. Tỉ lệ LVC: Phù hợp với quy định pháp luật về xuất xứ hàng hóa  </t>
  </si>
  <si>
    <t>!1.tl_lvc</t>
  </si>
  <si>
    <t xml:space="preserve">PHƯƠNG ÁN GIÁ BÁN - HIỆU QUẢ KINH DOANH </t>
  </si>
  <si>
    <t>!1.dien_giai</t>
  </si>
  <si>
    <t>FOB</t>
  </si>
  <si>
    <t>EXW</t>
  </si>
  <si>
    <t>CIF</t>
  </si>
  <si>
    <t>!1.hs_fob</t>
  </si>
  <si>
    <t>!1.hs_exw</t>
  </si>
  <si>
    <t>!1.hs_cif</t>
  </si>
  <si>
    <t>!2.stt</t>
  </si>
  <si>
    <t xml:space="preserve">#Tên sản phẩm·: + + !1.ten_sp
</t>
  </si>
  <si>
    <t>!1.dien_giai_pt_tt</t>
  </si>
  <si>
    <t>#Nếu không (giải pháp): ++ !1.giai_phap_lvc</t>
  </si>
  <si>
    <t>!1.dien_giai_nd_dac_biet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</si>
</sst>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.000_);_(* \(#,##0.000\);_(* &quot;-&quot;??_);_(@_)"/>
    <numFmt numFmtId="165" formatCode="\$\ 0.00"/>
    <numFmt numFmtId="166" formatCode="_(* #,##0.0000_);_(* \(#,##0.0000\);_(* &quot;-&quot;??_);_(@_)"/>
    <numFmt numFmtId="167" formatCode="_(* #,##0.000_);_(* \(#,##0.000\);_(* &quot;&quot;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2"/>
      <name val="Times New Roman"/>
      <family val="1"/>
    </font>
    <font>
      <sz val="11"/>
      <name val="Calibri"/>
      <family val="3"/>
      <charset val="129"/>
      <scheme val="minor"/>
    </font>
    <font>
      <b/>
      <sz val="12"/>
      <color rgb="FF000000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Wingdings 2"/>
      <family val="1"/>
      <charset val="2"/>
    </font>
    <font>
      <sz val="12"/>
      <color theme="0" tint="-0.34998626667073579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2">
    <xf numFmtId="0" fontId="0" fillId="0" borderId="0"/>
    <xf numFmtId="0" fontId="1" fillId="0" borderId="0">
      <alignment vertical="center"/>
    </xf>
    <xf numFmtId="0" fontId="2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1" fillId="0" borderId="0">
      <alignment vertical="center"/>
    </xf>
    <xf numFmtId="0" fontId="4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>
      <alignment vertical="center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48">
    <xf numFmtId="0" fontId="0" fillId="0" borderId="0" xfId="0"/>
    <xf numFmtId="0" fontId="5" fillId="0" borderId="5" xfId="6" applyFont="1" applyBorder="1" applyAlignment="1">
      <alignment horizontal="left" vertical="top" wrapText="1"/>
    </xf>
    <xf numFmtId="0" fontId="6" fillId="0" borderId="5" xfId="6" applyFont="1" applyBorder="1" applyAlignment="1">
      <alignment horizontal="left" wrapText="1"/>
    </xf>
    <xf numFmtId="0" fontId="6" fillId="0" borderId="0" xfId="6" applyFont="1" applyAlignment="1">
      <alignment horizontal="left" vertical="top"/>
    </xf>
    <xf numFmtId="0" fontId="5" fillId="0" borderId="9" xfId="6" applyFont="1" applyBorder="1" applyAlignment="1">
      <alignment horizontal="left" vertical="center" wrapText="1"/>
    </xf>
    <xf numFmtId="0" fontId="9" fillId="0" borderId="1" xfId="6" applyFont="1" applyBorder="1" applyAlignment="1">
      <alignment horizontal="center" vertical="center" wrapText="1"/>
    </xf>
    <xf numFmtId="0" fontId="6" fillId="0" borderId="0" xfId="6" applyFont="1" applyAlignment="1">
      <alignment horizontal="left" vertical="center"/>
    </xf>
    <xf numFmtId="0" fontId="5" fillId="0" borderId="0" xfId="6" applyFont="1" applyAlignment="1">
      <alignment horizontal="left" wrapText="1" indent="3"/>
    </xf>
    <xf numFmtId="0" fontId="8" fillId="0" borderId="0" xfId="6" applyFont="1" applyAlignment="1">
      <alignment vertical="top" wrapText="1"/>
    </xf>
    <xf numFmtId="0" fontId="5" fillId="0" borderId="6" xfId="6" applyFont="1" applyBorder="1" applyAlignment="1">
      <alignment horizontal="left" vertical="center" wrapText="1"/>
    </xf>
    <xf numFmtId="0" fontId="6" fillId="0" borderId="1" xfId="6" applyFont="1" applyBorder="1" applyAlignment="1">
      <alignment horizontal="left" vertical="top" wrapText="1"/>
    </xf>
    <xf numFmtId="0" fontId="8" fillId="0" borderId="1" xfId="6" applyFont="1" applyBorder="1" applyAlignment="1">
      <alignment horizontal="left" vertical="top" wrapText="1"/>
    </xf>
    <xf numFmtId="166" fontId="9" fillId="0" borderId="1" xfId="3" applyNumberFormat="1" applyFont="1" applyBorder="1" applyAlignment="1">
      <alignment vertical="center" wrapText="1"/>
    </xf>
    <xf numFmtId="0" fontId="6" fillId="0" borderId="4" xfId="6" applyFont="1" applyBorder="1" applyAlignment="1">
      <alignment horizontal="left" vertical="top" wrapText="1"/>
    </xf>
    <xf numFmtId="165" fontId="5" fillId="0" borderId="1" xfId="6" applyNumberFormat="1" applyFont="1" applyBorder="1" applyAlignment="1">
      <alignment vertical="center" shrinkToFit="1"/>
    </xf>
    <xf numFmtId="0" fontId="6" fillId="0" borderId="8" xfId="6" applyFont="1" applyBorder="1" applyAlignment="1">
      <alignment horizontal="left" vertical="top" wrapText="1"/>
    </xf>
    <xf numFmtId="0" fontId="5" fillId="0" borderId="10" xfId="6" applyFont="1" applyBorder="1" applyAlignment="1">
      <alignment horizontal="left" vertical="center" wrapText="1"/>
    </xf>
    <xf numFmtId="0" fontId="5" fillId="0" borderId="1" xfId="6" applyFont="1" applyBorder="1" applyAlignment="1">
      <alignment horizontal="right" vertical="center" wrapText="1" indent="1"/>
    </xf>
    <xf numFmtId="164" fontId="6" fillId="0" borderId="0" xfId="10" applyNumberFormat="1" applyFont="1" applyFill="1" applyBorder="1" applyAlignment="1">
      <alignment horizontal="left" vertical="top"/>
    </xf>
    <xf numFmtId="164" fontId="6" fillId="0" borderId="5" xfId="10" applyNumberFormat="1" applyFont="1" applyFill="1" applyBorder="1" applyAlignment="1">
      <alignment horizontal="left" wrapText="1"/>
    </xf>
    <xf numFmtId="164" fontId="5" fillId="0" borderId="1" xfId="10" applyNumberFormat="1" applyFont="1" applyFill="1" applyBorder="1" applyAlignment="1">
      <alignment horizontal="right" vertical="top" shrinkToFit="1"/>
    </xf>
    <xf numFmtId="164" fontId="5" fillId="0" borderId="2" xfId="10" applyNumberFormat="1" applyFont="1" applyFill="1" applyBorder="1" applyAlignment="1">
      <alignment horizontal="right" vertical="top" shrinkToFit="1"/>
    </xf>
    <xf numFmtId="0" fontId="6" fillId="0" borderId="0" xfId="6" applyFont="1" applyAlignment="1">
      <alignment horizontal="center" vertical="top" wrapText="1"/>
    </xf>
    <xf numFmtId="0" fontId="6" fillId="0" borderId="0" xfId="6" applyFont="1" applyAlignment="1">
      <alignment horizontal="center" vertical="top" wrapText="1"/>
    </xf>
    <xf numFmtId="0" fontId="6" fillId="0" borderId="0" xfId="6" applyFont="1" applyBorder="1" applyAlignment="1">
      <alignment horizontal="left" vertical="top" wrapText="1"/>
    </xf>
    <xf numFmtId="0" fontId="6" fillId="0" borderId="0" xfId="6" applyFont="1" applyAlignment="1">
      <alignment horizontal="center" vertical="top" wrapText="1"/>
    </xf>
    <xf numFmtId="0" fontId="5" fillId="0" borderId="5" xfId="6" applyFont="1" applyBorder="1" applyAlignment="1">
      <alignment horizontal="left" vertical="top" wrapText="1"/>
    </xf>
    <xf numFmtId="0" fontId="8" fillId="0" borderId="18" xfId="6" applyFont="1" applyBorder="1" applyAlignment="1">
      <alignment horizontal="left" vertical="top" wrapText="1"/>
    </xf>
    <xf numFmtId="0" fontId="8" fillId="0" borderId="16" xfId="6" applyFont="1" applyBorder="1" applyAlignment="1">
      <alignment horizontal="left" vertical="top" wrapText="1"/>
    </xf>
    <xf numFmtId="0" fontId="8" fillId="0" borderId="0" xfId="6" applyFont="1" applyBorder="1" applyAlignment="1">
      <alignment horizontal="left" vertical="top" wrapText="1"/>
    </xf>
    <xf numFmtId="0" fontId="5" fillId="0" borderId="0" xfId="6" applyFont="1" applyAlignment="1">
      <alignment horizontal="center" wrapText="1"/>
    </xf>
    <xf numFmtId="0" fontId="8" fillId="0" borderId="0" xfId="6" applyFont="1" applyAlignment="1">
      <alignment horizontal="center" vertical="top" wrapText="1"/>
    </xf>
    <xf numFmtId="0" fontId="8" fillId="0" borderId="0" xfId="6" applyFont="1" applyAlignment="1">
      <alignment horizontal="center" vertical="center" wrapText="1"/>
    </xf>
    <xf numFmtId="0" fontId="8" fillId="0" borderId="0" xfId="6" applyFont="1" applyBorder="1" applyAlignment="1">
      <alignment horizontal="left" vertical="center" wrapText="1"/>
    </xf>
    <xf numFmtId="0" fontId="8" fillId="0" borderId="0" xfId="6" applyFont="1" applyAlignment="1">
      <alignment horizontal="left" vertical="center" wrapText="1"/>
    </xf>
    <xf numFmtId="0" fontId="5" fillId="0" borderId="0" xfId="6" applyFont="1" applyAlignment="1">
      <alignment horizontal="center" vertical="center" wrapText="1"/>
    </xf>
    <xf numFmtId="0" fontId="10" fillId="0" borderId="0" xfId="6" applyFont="1" applyAlignment="1">
      <alignment horizontal="center" vertical="center"/>
    </xf>
    <xf numFmtId="0" fontId="6" fillId="0" borderId="0" xfId="6" applyFont="1" applyAlignment="1">
      <alignment horizontal="center" vertical="top" wrapText="1"/>
    </xf>
    <xf numFmtId="0" fontId="6" fillId="0" borderId="5" xfId="6" applyFont="1" applyBorder="1" applyAlignment="1">
      <alignment horizontal="left" vertical="top" wrapText="1"/>
    </xf>
    <xf numFmtId="166" fontId="5" fillId="0" borderId="1" xfId="10" applyNumberFormat="1" applyFont="1" applyFill="1" applyBorder="1" applyAlignment="1">
      <alignment horizontal="right" vertical="top" shrinkToFit="1"/>
    </xf>
    <xf numFmtId="0" fontId="6" fillId="0" borderId="21" xfId="6" applyFont="1" applyBorder="1" applyAlignment="1">
      <alignment horizontal="left" vertical="top" wrapText="1"/>
    </xf>
    <xf numFmtId="0" fontId="13" fillId="0" borderId="0" xfId="6" applyFont="1" applyBorder="1" applyAlignment="1">
      <alignment horizontal="left" vertical="top" wrapText="1"/>
    </xf>
    <xf numFmtId="165" fontId="5" fillId="0" borderId="4" xfId="6" applyNumberFormat="1" applyFont="1" applyBorder="1" applyAlignment="1">
      <alignment vertical="center" shrinkToFit="1"/>
    </xf>
    <xf numFmtId="164" fontId="5" fillId="0" borderId="8" xfId="10" applyNumberFormat="1" applyFont="1" applyFill="1" applyBorder="1" applyAlignment="1">
      <alignment horizontal="left" vertical="center" wrapText="1"/>
    </xf>
    <xf numFmtId="0" fontId="6" fillId="0" borderId="16" xfId="6" applyFont="1" applyBorder="1" applyAlignment="1">
      <alignment horizontal="center" vertical="top" wrapText="1"/>
    </xf>
    <xf numFmtId="0" fontId="6" fillId="0" borderId="16" xfId="6" applyFont="1" applyBorder="1" applyAlignment="1">
      <alignment horizontal="left" vertical="top" wrapText="1"/>
    </xf>
    <xf numFmtId="0" fontId="6" fillId="0" borderId="19" xfId="6" applyFont="1" applyBorder="1" applyAlignment="1">
      <alignment horizontal="left" vertical="top" wrapText="1"/>
    </xf>
    <xf numFmtId="0" fontId="13" fillId="0" borderId="16" xfId="6" applyFont="1" applyBorder="1" applyAlignment="1">
      <alignment horizontal="left" vertical="top" wrapText="1"/>
    </xf>
    <xf numFmtId="0" fontId="6" fillId="0" borderId="25" xfId="6" applyFont="1" applyBorder="1" applyAlignment="1">
      <alignment horizontal="center" vertical="top" wrapText="1"/>
    </xf>
    <xf numFmtId="0" fontId="6" fillId="0" borderId="21" xfId="6" applyFont="1" applyBorder="1" applyAlignment="1">
      <alignment horizontal="center" vertical="top" wrapText="1"/>
    </xf>
    <xf numFmtId="0" fontId="8" fillId="0" borderId="27" xfId="6" applyFont="1" applyBorder="1" applyAlignment="1">
      <alignment horizontal="left" vertical="top" wrapText="1"/>
    </xf>
    <xf numFmtId="0" fontId="8" fillId="0" borderId="5" xfId="6" applyFont="1" applyBorder="1" applyAlignment="1">
      <alignment horizontal="left" vertical="top" wrapText="1"/>
    </xf>
    <xf numFmtId="0" fontId="6" fillId="0" borderId="5" xfId="6" applyFont="1" applyBorder="1" applyAlignment="1">
      <alignment horizontal="center" vertical="center" wrapText="1"/>
    </xf>
    <xf numFmtId="0" fontId="6" fillId="0" borderId="0" xfId="6" applyFont="1" applyBorder="1" applyAlignment="1">
      <alignment horizontal="center" vertical="center" wrapText="1"/>
    </xf>
    <xf numFmtId="0" fontId="6" fillId="0" borderId="30" xfId="6" applyFont="1" applyBorder="1" applyAlignment="1">
      <alignment horizontal="left" vertical="top" wrapText="1"/>
    </xf>
    <xf numFmtId="0" fontId="6" fillId="0" borderId="0" xfId="6" applyFont="1" applyAlignment="1">
      <alignment horizontal="center" vertical="top" wrapText="1"/>
    </xf>
    <xf numFmtId="0" fontId="13" fillId="0" borderId="1" xfId="6" applyFont="1" applyBorder="1" applyAlignment="1">
      <alignment horizontal="center" vertical="center" wrapText="1"/>
    </xf>
    <xf numFmtId="0" fontId="14" fillId="0" borderId="0" xfId="6" applyFont="1" applyAlignment="1">
      <alignment horizontal="left" vertical="top"/>
    </xf>
    <xf numFmtId="0" fontId="6" fillId="0" borderId="0" xfId="6" applyFont="1" applyBorder="1" applyAlignment="1">
      <alignment horizontal="center" vertical="top" wrapText="1"/>
    </xf>
    <xf numFmtId="0" fontId="13" fillId="0" borderId="23" xfId="6" applyFont="1" applyBorder="1" applyAlignment="1">
      <alignment horizontal="center" vertical="center" wrapText="1"/>
    </xf>
    <xf numFmtId="167" fontId="9" fillId="0" borderId="1" xfId="6" applyNumberFormat="1" applyFont="1" applyBorder="1" applyAlignment="1">
      <alignment horizontal="center" vertical="center" wrapText="1"/>
    </xf>
    <xf numFmtId="0" fontId="5" fillId="0" borderId="3" xfId="6" applyFont="1" applyBorder="1" applyAlignment="1">
      <alignment vertical="top" wrapText="1"/>
    </xf>
    <xf numFmtId="0" fontId="5" fillId="0" borderId="1" xfId="6" applyFont="1" applyBorder="1" applyAlignment="1">
      <alignment vertical="top" wrapText="1"/>
    </xf>
    <xf numFmtId="49" fontId="6" fillId="0" borderId="1" xfId="6" applyNumberFormat="1" applyFont="1" applyBorder="1" applyAlignment="1">
      <alignment horizontal="left" vertical="top" wrapText="1"/>
    </xf>
    <xf numFmtId="0" fontId="6" fillId="0" borderId="6" xfId="6" applyFont="1" applyBorder="1" applyAlignment="1">
      <alignment horizontal="center" vertical="top" wrapText="1"/>
    </xf>
    <xf numFmtId="0" fontId="6" fillId="0" borderId="7" xfId="6" applyFont="1" applyBorder="1" applyAlignment="1">
      <alignment horizontal="center" vertical="top" wrapText="1"/>
    </xf>
    <xf numFmtId="0" fontId="6" fillId="0" borderId="8" xfId="6" applyFont="1" applyBorder="1" applyAlignment="1">
      <alignment horizontal="center" vertical="top" wrapText="1"/>
    </xf>
    <xf numFmtId="0" fontId="5" fillId="0" borderId="17" xfId="6" applyFont="1" applyBorder="1" applyAlignment="1">
      <alignment horizontal="center" vertical="top" wrapText="1"/>
    </xf>
    <xf numFmtId="0" fontId="5" fillId="0" borderId="11" xfId="6" applyFont="1" applyBorder="1" applyAlignment="1">
      <alignment horizontal="center" vertical="top" wrapText="1"/>
    </xf>
    <xf numFmtId="0" fontId="5" fillId="0" borderId="12" xfId="6" applyFont="1" applyBorder="1" applyAlignment="1">
      <alignment horizontal="center" vertical="top" wrapText="1"/>
    </xf>
    <xf numFmtId="0" fontId="5" fillId="0" borderId="31" xfId="6" applyFont="1" applyBorder="1" applyAlignment="1">
      <alignment horizontal="center" vertical="top" wrapText="1"/>
    </xf>
    <xf numFmtId="0" fontId="5" fillId="0" borderId="5" xfId="6" applyFont="1" applyBorder="1" applyAlignment="1">
      <alignment horizontal="center" vertical="top" wrapText="1"/>
    </xf>
    <xf numFmtId="0" fontId="5" fillId="0" borderId="13" xfId="6" applyFont="1" applyBorder="1" applyAlignment="1">
      <alignment horizontal="center" vertical="top" wrapText="1"/>
    </xf>
    <xf numFmtId="164" fontId="5" fillId="0" borderId="6" xfId="10" applyNumberFormat="1" applyFont="1" applyFill="1" applyBorder="1" applyAlignment="1">
      <alignment horizontal="center" vertical="center" wrapText="1"/>
    </xf>
    <xf numFmtId="164" fontId="5" fillId="0" borderId="7" xfId="10" applyNumberFormat="1" applyFont="1" applyFill="1" applyBorder="1" applyAlignment="1">
      <alignment horizontal="center" vertical="center" wrapText="1"/>
    </xf>
    <xf numFmtId="164" fontId="5" fillId="0" borderId="8" xfId="10" applyNumberFormat="1" applyFont="1" applyFill="1" applyBorder="1" applyAlignment="1">
      <alignment horizontal="center" vertical="center" wrapText="1"/>
    </xf>
    <xf numFmtId="164" fontId="5" fillId="0" borderId="18" xfId="10" applyNumberFormat="1" applyFont="1" applyFill="1" applyBorder="1" applyAlignment="1">
      <alignment horizontal="left" vertical="top" shrinkToFit="1"/>
    </xf>
    <xf numFmtId="164" fontId="5" fillId="0" borderId="16" xfId="10" applyNumberFormat="1" applyFont="1" applyFill="1" applyBorder="1" applyAlignment="1">
      <alignment horizontal="left" vertical="top" shrinkToFit="1"/>
    </xf>
    <xf numFmtId="164" fontId="5" fillId="0" borderId="19" xfId="10" applyNumberFormat="1" applyFont="1" applyFill="1" applyBorder="1" applyAlignment="1">
      <alignment horizontal="left" vertical="top" shrinkToFit="1"/>
    </xf>
    <xf numFmtId="0" fontId="5" fillId="0" borderId="5" xfId="6" applyFont="1" applyBorder="1" applyAlignment="1">
      <alignment horizontal="left" vertical="top" wrapText="1"/>
    </xf>
    <xf numFmtId="0" fontId="5" fillId="0" borderId="22" xfId="6" applyFont="1" applyBorder="1" applyAlignment="1">
      <alignment horizontal="left" vertical="top" wrapText="1"/>
    </xf>
    <xf numFmtId="0" fontId="5" fillId="0" borderId="23" xfId="6" applyFont="1" applyBorder="1" applyAlignment="1">
      <alignment horizontal="left" vertical="top" wrapText="1"/>
    </xf>
    <xf numFmtId="0" fontId="5" fillId="0" borderId="24" xfId="6" applyFont="1" applyBorder="1" applyAlignment="1">
      <alignment horizontal="left" vertical="top" wrapText="1"/>
    </xf>
    <xf numFmtId="0" fontId="8" fillId="0" borderId="16" xfId="6" applyFont="1" applyBorder="1" applyAlignment="1">
      <alignment horizontal="left" vertical="top" wrapText="1"/>
    </xf>
    <xf numFmtId="0" fontId="8" fillId="0" borderId="19" xfId="6" applyFont="1" applyBorder="1" applyAlignment="1">
      <alignment horizontal="left" vertical="top" wrapText="1"/>
    </xf>
    <xf numFmtId="0" fontId="6" fillId="0" borderId="0" xfId="6" applyFont="1" applyAlignment="1">
      <alignment horizontal="right" vertical="top" wrapText="1"/>
    </xf>
    <xf numFmtId="0" fontId="11" fillId="0" borderId="17" xfId="6" applyFont="1" applyBorder="1" applyAlignment="1">
      <alignment horizontal="center" vertical="center" wrapText="1"/>
    </xf>
    <xf numFmtId="0" fontId="12" fillId="0" borderId="11" xfId="6" applyFont="1" applyBorder="1" applyAlignment="1">
      <alignment horizontal="center" vertical="center" wrapText="1"/>
    </xf>
    <xf numFmtId="0" fontId="12" fillId="0" borderId="12" xfId="6" applyFont="1" applyBorder="1" applyAlignment="1">
      <alignment horizontal="center" vertical="center" wrapText="1"/>
    </xf>
    <xf numFmtId="0" fontId="5" fillId="0" borderId="6" xfId="6" applyFont="1" applyBorder="1" applyAlignment="1">
      <alignment horizontal="left" vertical="top" wrapText="1"/>
    </xf>
    <xf numFmtId="0" fontId="8" fillId="0" borderId="7" xfId="6" applyFont="1" applyBorder="1" applyAlignment="1">
      <alignment horizontal="left" vertical="top" wrapText="1"/>
    </xf>
    <xf numFmtId="0" fontId="6" fillId="0" borderId="7" xfId="6" applyFont="1" applyBorder="1" applyAlignment="1">
      <alignment horizontal="left" vertical="top" wrapText="1"/>
    </xf>
    <xf numFmtId="0" fontId="6" fillId="0" borderId="8" xfId="6" applyFont="1" applyBorder="1" applyAlignment="1">
      <alignment horizontal="left" vertical="top" wrapText="1"/>
    </xf>
    <xf numFmtId="0" fontId="5" fillId="0" borderId="7" xfId="6" applyFont="1" applyBorder="1" applyAlignment="1">
      <alignment horizontal="left" vertical="top" wrapText="1"/>
    </xf>
    <xf numFmtId="0" fontId="5" fillId="0" borderId="8" xfId="6" applyFont="1" applyBorder="1" applyAlignment="1">
      <alignment horizontal="left" vertical="top" wrapText="1"/>
    </xf>
    <xf numFmtId="0" fontId="10" fillId="0" borderId="7" xfId="6" applyFont="1" applyBorder="1" applyAlignment="1">
      <alignment horizontal="left" vertical="top" wrapText="1"/>
    </xf>
    <xf numFmtId="0" fontId="10" fillId="0" borderId="8" xfId="6" applyFont="1" applyBorder="1" applyAlignment="1">
      <alignment horizontal="left" vertical="top" wrapText="1"/>
    </xf>
    <xf numFmtId="0" fontId="11" fillId="0" borderId="31" xfId="6" applyFont="1" applyBorder="1" applyAlignment="1">
      <alignment horizontal="center" vertical="top" wrapText="1"/>
    </xf>
    <xf numFmtId="0" fontId="11" fillId="0" borderId="5" xfId="6" applyFont="1" applyBorder="1" applyAlignment="1">
      <alignment horizontal="center" vertical="top" wrapText="1"/>
    </xf>
    <xf numFmtId="0" fontId="11" fillId="0" borderId="13" xfId="6" applyFont="1" applyBorder="1" applyAlignment="1">
      <alignment horizontal="center" vertical="top" wrapText="1"/>
    </xf>
    <xf numFmtId="0" fontId="5" fillId="0" borderId="2" xfId="6" applyFont="1" applyBorder="1" applyAlignment="1">
      <alignment horizontal="right" vertical="top" wrapText="1"/>
    </xf>
    <xf numFmtId="0" fontId="5" fillId="0" borderId="4" xfId="6" applyFont="1" applyBorder="1" applyAlignment="1">
      <alignment horizontal="right" vertical="top" wrapText="1"/>
    </xf>
    <xf numFmtId="167" fontId="5" fillId="0" borderId="2" xfId="6" applyNumberFormat="1" applyFont="1" applyBorder="1" applyAlignment="1">
      <alignment horizontal="center" vertical="top" wrapText="1"/>
    </xf>
    <xf numFmtId="167" fontId="5" fillId="0" borderId="4" xfId="6" applyNumberFormat="1" applyFont="1" applyBorder="1" applyAlignment="1">
      <alignment horizontal="center" vertical="top" wrapText="1"/>
    </xf>
    <xf numFmtId="0" fontId="5" fillId="0" borderId="2" xfId="6" applyFont="1" applyBorder="1" applyAlignment="1">
      <alignment horizontal="center" vertical="center" wrapText="1"/>
    </xf>
    <xf numFmtId="0" fontId="5" fillId="0" borderId="4" xfId="6" applyFont="1" applyBorder="1" applyAlignment="1">
      <alignment horizontal="center" vertical="center" wrapText="1"/>
    </xf>
    <xf numFmtId="0" fontId="5" fillId="0" borderId="0" xfId="6" applyFont="1" applyAlignment="1">
      <alignment horizontal="center" wrapText="1"/>
    </xf>
    <xf numFmtId="0" fontId="6" fillId="0" borderId="1" xfId="6" applyFont="1" applyBorder="1" applyAlignment="1">
      <alignment horizontal="left" vertical="top" wrapText="1"/>
    </xf>
    <xf numFmtId="0" fontId="6" fillId="0" borderId="6" xfId="6" applyFont="1" applyBorder="1" applyAlignment="1">
      <alignment horizontal="left" wrapText="1"/>
    </xf>
    <xf numFmtId="0" fontId="6" fillId="0" borderId="7" xfId="6" applyFont="1" applyBorder="1" applyAlignment="1">
      <alignment horizontal="left" wrapText="1"/>
    </xf>
    <xf numFmtId="0" fontId="6" fillId="0" borderId="8" xfId="6" applyFont="1" applyBorder="1" applyAlignment="1">
      <alignment horizontal="left" wrapText="1"/>
    </xf>
    <xf numFmtId="0" fontId="5" fillId="0" borderId="6" xfId="6" applyFont="1" applyBorder="1" applyAlignment="1">
      <alignment horizontal="left" vertical="center" wrapText="1"/>
    </xf>
    <xf numFmtId="0" fontId="5" fillId="0" borderId="7" xfId="6" applyFont="1" applyBorder="1" applyAlignment="1">
      <alignment horizontal="left" vertical="center" wrapText="1"/>
    </xf>
    <xf numFmtId="0" fontId="5" fillId="0" borderId="8" xfId="6" applyFont="1" applyBorder="1" applyAlignment="1">
      <alignment horizontal="left" vertical="center" wrapText="1"/>
    </xf>
    <xf numFmtId="0" fontId="9" fillId="0" borderId="14" xfId="4" applyFont="1" applyBorder="1" applyAlignment="1">
      <alignment horizontal="left" vertical="center" shrinkToFit="1"/>
    </xf>
    <xf numFmtId="0" fontId="9" fillId="0" borderId="26" xfId="4" applyFont="1" applyBorder="1" applyAlignment="1">
      <alignment horizontal="left" vertical="center" shrinkToFit="1"/>
    </xf>
    <xf numFmtId="0" fontId="9" fillId="0" borderId="15" xfId="4" applyFont="1" applyBorder="1" applyAlignment="1">
      <alignment horizontal="left" vertical="center" shrinkToFit="1"/>
    </xf>
    <xf numFmtId="164" fontId="5" fillId="0" borderId="18" xfId="10" applyNumberFormat="1" applyFont="1" applyFill="1" applyBorder="1" applyAlignment="1">
      <alignment horizontal="center" vertical="top" shrinkToFit="1"/>
    </xf>
    <xf numFmtId="164" fontId="5" fillId="0" borderId="16" xfId="10" applyNumberFormat="1" applyFont="1" applyFill="1" applyBorder="1" applyAlignment="1">
      <alignment horizontal="center" vertical="top" shrinkToFit="1"/>
    </xf>
    <xf numFmtId="164" fontId="5" fillId="0" borderId="19" xfId="10" applyNumberFormat="1" applyFont="1" applyFill="1" applyBorder="1" applyAlignment="1">
      <alignment horizontal="center" vertical="top" shrinkToFit="1"/>
    </xf>
    <xf numFmtId="166" fontId="9" fillId="0" borderId="2" xfId="3" applyNumberFormat="1" applyFont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 wrapText="1"/>
    </xf>
    <xf numFmtId="0" fontId="5" fillId="0" borderId="28" xfId="6" applyFont="1" applyBorder="1" applyAlignment="1">
      <alignment horizontal="center" vertical="center" wrapText="1"/>
    </xf>
    <xf numFmtId="0" fontId="5" fillId="0" borderId="15" xfId="6" applyFont="1" applyBorder="1" applyAlignment="1">
      <alignment horizontal="center" vertical="center" wrapText="1"/>
    </xf>
    <xf numFmtId="0" fontId="8" fillId="0" borderId="2" xfId="6" applyFont="1" applyBorder="1" applyAlignment="1">
      <alignment horizontal="center" vertical="top" wrapText="1"/>
    </xf>
    <xf numFmtId="0" fontId="8" fillId="0" borderId="4" xfId="6" applyFont="1" applyBorder="1" applyAlignment="1">
      <alignment horizontal="center" vertical="top" wrapText="1"/>
    </xf>
    <xf numFmtId="0" fontId="5" fillId="0" borderId="17" xfId="6" applyFont="1" applyBorder="1" applyAlignment="1">
      <alignment horizontal="left" vertical="top" wrapText="1"/>
    </xf>
    <xf numFmtId="0" fontId="5" fillId="0" borderId="11" xfId="6" applyFont="1" applyBorder="1" applyAlignment="1">
      <alignment horizontal="left" vertical="top" wrapText="1"/>
    </xf>
    <xf numFmtId="0" fontId="5" fillId="0" borderId="29" xfId="6" applyFont="1" applyBorder="1" applyAlignment="1">
      <alignment horizontal="left" vertical="top" wrapText="1"/>
    </xf>
    <xf numFmtId="0" fontId="5" fillId="0" borderId="27" xfId="6" applyFont="1" applyBorder="1" applyAlignment="1">
      <alignment horizontal="left" vertical="top" wrapText="1"/>
    </xf>
    <xf numFmtId="0" fontId="5" fillId="0" borderId="0" xfId="6" applyFont="1" applyBorder="1" applyAlignment="1">
      <alignment horizontal="left" vertical="top" wrapText="1"/>
    </xf>
    <xf numFmtId="0" fontId="5" fillId="0" borderId="21" xfId="6" applyFont="1" applyBorder="1" applyAlignment="1">
      <alignment horizontal="left" vertical="top" wrapText="1"/>
    </xf>
    <xf numFmtId="0" fontId="6" fillId="0" borderId="0" xfId="6" applyFont="1" applyAlignment="1">
      <alignment horizontal="center" vertical="top" wrapText="1"/>
    </xf>
    <xf numFmtId="0" fontId="8" fillId="0" borderId="22" xfId="6" applyFont="1" applyBorder="1" applyAlignment="1">
      <alignment horizontal="left" vertical="top" wrapText="1"/>
    </xf>
    <xf numFmtId="0" fontId="8" fillId="0" borderId="23" xfId="6" applyFont="1" applyBorder="1" applyAlignment="1">
      <alignment horizontal="left" vertical="top" wrapText="1"/>
    </xf>
    <xf numFmtId="0" fontId="8" fillId="0" borderId="24" xfId="6" applyFont="1" applyBorder="1" applyAlignment="1">
      <alignment horizontal="left" vertical="top" wrapText="1"/>
    </xf>
    <xf numFmtId="0" fontId="8" fillId="0" borderId="0" xfId="6" applyFont="1" applyAlignment="1">
      <alignment horizontal="center" vertical="top" wrapText="1"/>
    </xf>
    <xf numFmtId="0" fontId="8" fillId="0" borderId="0" xfId="6" applyFont="1" applyAlignment="1">
      <alignment horizontal="center" vertical="center" wrapText="1"/>
    </xf>
    <xf numFmtId="0" fontId="8" fillId="0" borderId="0" xfId="6" applyFont="1" applyBorder="1" applyAlignment="1">
      <alignment horizontal="left" vertical="center" wrapText="1"/>
    </xf>
    <xf numFmtId="0" fontId="8" fillId="0" borderId="0" xfId="6" applyFont="1" applyAlignment="1">
      <alignment horizontal="left" vertical="center" wrapText="1"/>
    </xf>
    <xf numFmtId="0" fontId="5" fillId="0" borderId="0" xfId="6" applyFont="1" applyAlignment="1">
      <alignment horizontal="center" vertical="center" wrapText="1"/>
    </xf>
    <xf numFmtId="0" fontId="10" fillId="0" borderId="0" xfId="6" applyFont="1" applyAlignment="1">
      <alignment horizontal="center" vertical="center"/>
    </xf>
    <xf numFmtId="0" fontId="8" fillId="0" borderId="0" xfId="6" applyFont="1" applyBorder="1" applyAlignment="1">
      <alignment horizontal="left" vertical="top" wrapText="1"/>
    </xf>
    <xf numFmtId="0" fontId="8" fillId="0" borderId="2" xfId="6" applyFont="1" applyBorder="1" applyAlignment="1">
      <alignment horizontal="right" vertical="top" wrapText="1"/>
    </xf>
    <xf numFmtId="0" fontId="8" fillId="0" borderId="3" xfId="6" applyFont="1" applyBorder="1" applyAlignment="1">
      <alignment horizontal="right" vertical="top" wrapText="1"/>
    </xf>
    <xf numFmtId="0" fontId="8" fillId="0" borderId="4" xfId="6" applyFont="1" applyBorder="1" applyAlignment="1">
      <alignment horizontal="right" vertical="top" wrapText="1"/>
    </xf>
    <xf numFmtId="0" fontId="5" fillId="0" borderId="1" xfId="6" applyFont="1" applyBorder="1" applyAlignment="1">
      <alignment horizontal="left" vertical="top" wrapText="1"/>
    </xf>
    <xf numFmtId="0" fontId="8" fillId="0" borderId="20" xfId="6" applyFont="1" applyBorder="1" applyAlignment="1">
      <alignment horizontal="left" vertical="top" wrapText="1"/>
    </xf>
  </cellXfs>
  <cellStyles count="12">
    <cellStyle name="Comma" xfId="3" builtinId="3"/>
    <cellStyle name="Comma 2" xfId="7"/>
    <cellStyle name="Comma 2 2" xfId="10"/>
    <cellStyle name="Normal" xfId="0" builtinId="0"/>
    <cellStyle name="Normal 2" xfId="6"/>
    <cellStyle name="Percent 2" xfId="8"/>
    <cellStyle name="Percent 2 2" xfId="11"/>
    <cellStyle name="표준 2" xfId="1"/>
    <cellStyle name="표준 2 2" xfId="9"/>
    <cellStyle name="표준 2 77" xfId="5"/>
    <cellStyle name="표준 5 10 2" xfId="4"/>
    <cellStyle name="표준_BOM_BFFU_V3_COST_N사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32108</xdr:colOff>
      <xdr:row>0</xdr:row>
      <xdr:rowOff>74914</xdr:rowOff>
    </xdr:from>
    <xdr:to>
      <xdr:col>2</xdr:col>
      <xdr:colOff>79672</xdr:colOff>
      <xdr:row>0</xdr:row>
      <xdr:rowOff>439783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BE714-DCBC-4218-98B1-12A2B12FD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08" y="74914"/>
          <a:ext cx="1468609" cy="364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view="pageBreakPreview" zoomScale="85" zoomScaleNormal="85" zoomScaleSheetLayoutView="85" workbookViewId="0">
      <selection activeCell="A3" sqref="A3:N3"/>
    </sheetView>
  </sheetViews>
  <sheetFormatPr defaultColWidth="8" defaultRowHeight="15.75"/>
  <cols>
    <col min="1" max="1" width="11.140625" style="3" customWidth="1"/>
    <col min="2" max="2" width="10.140625" style="3" customWidth="1"/>
    <col min="3" max="3" width="20" style="3" bestFit="1" customWidth="1"/>
    <col min="4" max="4" width="4.5703125" style="3" customWidth="1"/>
    <col min="5" max="5" width="12.42578125" style="3" customWidth="1"/>
    <col min="6" max="6" width="13.140625" style="3" customWidth="1"/>
    <col min="7" max="7" width="4.5703125" style="3" customWidth="1"/>
    <col min="8" max="9" width="17.5703125" style="3" customWidth="1"/>
    <col min="10" max="10" width="4.5703125" style="3" customWidth="1"/>
    <col min="11" max="11" width="17.5703125" style="18" customWidth="1"/>
    <col min="12" max="12" width="4.5703125" style="18" customWidth="1"/>
    <col min="13" max="13" width="23.140625" style="3" customWidth="1"/>
    <col min="14" max="14" width="20" style="3" customWidth="1"/>
    <col min="15" max="16" width="8" style="3" customWidth="1"/>
    <col min="17" max="16384" width="8" style="3"/>
  </cols>
  <sheetData>
    <row r="1" spans="1:15" ht="37.5" customHeight="1">
      <c r="M1" s="85" t="s">
        <v>47</v>
      </c>
      <c r="N1" s="85"/>
    </row>
    <row r="2" spans="1:15" ht="31.5" customHeight="1">
      <c r="A2" s="1" t="s">
        <v>2</v>
      </c>
      <c r="B2" s="79" t="s">
        <v>16</v>
      </c>
      <c r="C2" s="79"/>
      <c r="D2" s="26"/>
      <c r="E2" s="2"/>
      <c r="F2" s="2"/>
      <c r="G2" s="2"/>
      <c r="H2" s="2"/>
      <c r="I2" s="2"/>
      <c r="J2" s="2"/>
      <c r="K2" s="19"/>
      <c r="L2" s="19"/>
      <c r="M2" s="2"/>
      <c r="N2" s="2"/>
    </row>
    <row r="3" spans="1:15" ht="34.5" customHeight="1">
      <c r="A3" s="86" t="s">
        <v>53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8"/>
    </row>
    <row r="4" spans="1:15" ht="19.5" customHeight="1">
      <c r="A4" s="97" t="s">
        <v>54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9"/>
    </row>
    <row r="5" spans="1:15">
      <c r="A5" s="89" t="s">
        <v>23</v>
      </c>
      <c r="B5" s="90"/>
      <c r="C5" s="91"/>
      <c r="D5" s="91"/>
      <c r="E5" s="91"/>
      <c r="F5" s="91"/>
      <c r="G5" s="91"/>
      <c r="H5" s="91"/>
      <c r="I5" s="91"/>
      <c r="J5" s="91"/>
      <c r="K5" s="92"/>
      <c r="L5" s="64" t="s">
        <v>49</v>
      </c>
      <c r="M5" s="65"/>
      <c r="N5" s="66"/>
    </row>
    <row r="6" spans="1:15">
      <c r="A6" s="89" t="s">
        <v>24</v>
      </c>
      <c r="B6" s="93"/>
      <c r="C6" s="93"/>
      <c r="D6" s="93"/>
      <c r="E6" s="93"/>
      <c r="F6" s="93"/>
      <c r="G6" s="93"/>
      <c r="H6" s="93"/>
      <c r="I6" s="93"/>
      <c r="J6" s="93"/>
      <c r="K6" s="94"/>
      <c r="L6" s="67" t="s">
        <v>48</v>
      </c>
      <c r="M6" s="68"/>
      <c r="N6" s="69"/>
    </row>
    <row r="7" spans="1:15">
      <c r="A7" s="89" t="s">
        <v>62</v>
      </c>
      <c r="B7" s="95"/>
      <c r="C7" s="95"/>
      <c r="D7" s="95"/>
      <c r="E7" s="95"/>
      <c r="F7" s="95"/>
      <c r="G7" s="95"/>
      <c r="H7" s="95"/>
      <c r="I7" s="95"/>
      <c r="J7" s="95"/>
      <c r="K7" s="96"/>
      <c r="L7" s="70"/>
      <c r="M7" s="71"/>
      <c r="N7" s="72"/>
    </row>
    <row r="8" spans="1:15" ht="1.5" customHeight="1">
      <c r="A8" s="108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10"/>
    </row>
    <row r="9" spans="1:15" ht="16.5" customHeight="1">
      <c r="A9" s="126" t="s">
        <v>45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8"/>
      <c r="O9" s="57" t="s">
        <v>17</v>
      </c>
    </row>
    <row r="10" spans="1:15" ht="8.25" customHeight="1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1"/>
    </row>
    <row r="11" spans="1:15" ht="18" customHeight="1">
      <c r="A11" s="50"/>
      <c r="B11" s="29"/>
      <c r="C11" s="53" t="s">
        <v>41</v>
      </c>
      <c r="D11" s="56" t="str">
        <f>IF(O9= "1","P","")</f>
        <v/>
      </c>
      <c r="E11" s="24"/>
      <c r="F11" s="53" t="s">
        <v>42</v>
      </c>
      <c r="G11" s="56" t="str">
        <f>IF(O9= "2","P","")</f>
        <v/>
      </c>
      <c r="H11" s="24"/>
      <c r="I11" s="53" t="s">
        <v>43</v>
      </c>
      <c r="J11" s="56" t="str">
        <f>IF(O9= "3","P","")</f>
        <v/>
      </c>
      <c r="K11" s="24"/>
      <c r="L11" s="24"/>
      <c r="M11" s="24"/>
      <c r="N11" s="40"/>
    </row>
    <row r="12" spans="1:15" ht="21.75" customHeight="1">
      <c r="A12" s="50"/>
      <c r="B12" s="29"/>
      <c r="C12" s="53"/>
      <c r="D12" s="41"/>
      <c r="E12" s="24"/>
      <c r="F12" s="53"/>
      <c r="G12" s="41"/>
      <c r="H12" s="24"/>
      <c r="I12" s="53"/>
      <c r="J12" s="41"/>
      <c r="K12" s="24"/>
      <c r="L12" s="24"/>
      <c r="M12" s="24"/>
      <c r="N12" s="40"/>
    </row>
    <row r="13" spans="1:15" ht="18" customHeight="1">
      <c r="A13" s="50"/>
      <c r="B13" s="29"/>
      <c r="C13" s="53" t="s">
        <v>44</v>
      </c>
      <c r="D13" s="56" t="str">
        <f>IF(O9= "4","P","")</f>
        <v/>
      </c>
      <c r="E13" s="24"/>
      <c r="F13" s="53" t="s">
        <v>46</v>
      </c>
      <c r="G13" s="56" t="str">
        <f>IF(O9= "5","P","")</f>
        <v/>
      </c>
      <c r="H13" s="24"/>
      <c r="I13" s="53"/>
      <c r="J13" s="41"/>
      <c r="K13" s="24"/>
      <c r="L13" s="24"/>
      <c r="M13" s="24"/>
      <c r="N13" s="40"/>
    </row>
    <row r="14" spans="1:15" ht="21.75" customHeight="1">
      <c r="A14" s="50"/>
      <c r="B14" s="51"/>
      <c r="C14" s="52"/>
      <c r="D14" s="38"/>
      <c r="E14" s="38"/>
      <c r="F14" s="24"/>
      <c r="G14" s="24"/>
      <c r="H14" s="24"/>
      <c r="I14" s="24"/>
      <c r="J14" s="24"/>
      <c r="K14" s="38"/>
      <c r="L14" s="38"/>
      <c r="M14" s="24"/>
      <c r="N14" s="54"/>
    </row>
    <row r="15" spans="1:15" s="6" customFormat="1" ht="15.75" customHeight="1">
      <c r="A15" s="16" t="s">
        <v>0</v>
      </c>
      <c r="B15" s="9" t="s">
        <v>5</v>
      </c>
      <c r="C15" s="111" t="s">
        <v>11</v>
      </c>
      <c r="D15" s="112"/>
      <c r="E15" s="113"/>
      <c r="F15" s="122" t="s">
        <v>1</v>
      </c>
      <c r="G15" s="123"/>
      <c r="H15" s="17" t="s">
        <v>6</v>
      </c>
      <c r="I15" s="104" t="s">
        <v>7</v>
      </c>
      <c r="J15" s="105"/>
      <c r="K15" s="43" t="s">
        <v>12</v>
      </c>
      <c r="L15" s="73" t="s">
        <v>50</v>
      </c>
      <c r="M15" s="74"/>
      <c r="N15" s="75"/>
    </row>
    <row r="16" spans="1:15">
      <c r="A16" s="63" t="s">
        <v>61</v>
      </c>
      <c r="B16" s="13" t="s">
        <v>25</v>
      </c>
      <c r="C16" s="114" t="s">
        <v>26</v>
      </c>
      <c r="D16" s="115"/>
      <c r="E16" s="116"/>
      <c r="F16" s="124" t="s">
        <v>27</v>
      </c>
      <c r="G16" s="125"/>
      <c r="H16" s="60" t="s">
        <v>28</v>
      </c>
      <c r="I16" s="120" t="s">
        <v>29</v>
      </c>
      <c r="J16" s="121"/>
      <c r="K16" s="20" t="s">
        <v>30</v>
      </c>
      <c r="L16" s="76" t="s">
        <v>31</v>
      </c>
      <c r="M16" s="77"/>
      <c r="N16" s="78"/>
    </row>
    <row r="17" spans="1:16" hidden="1">
      <c r="A17" s="10"/>
      <c r="B17" s="13"/>
      <c r="C17" s="114"/>
      <c r="D17" s="115"/>
      <c r="E17" s="116"/>
      <c r="F17" s="11"/>
      <c r="G17" s="11"/>
      <c r="H17" s="5"/>
      <c r="I17" s="5"/>
      <c r="J17" s="12"/>
      <c r="K17" s="20"/>
      <c r="L17" s="21"/>
      <c r="M17" s="20"/>
      <c r="N17" s="15"/>
    </row>
    <row r="18" spans="1:16">
      <c r="A18" s="4"/>
      <c r="B18" s="10"/>
      <c r="C18" s="62" t="s">
        <v>55</v>
      </c>
      <c r="D18" s="102" t="s">
        <v>58</v>
      </c>
      <c r="E18" s="103"/>
      <c r="F18" s="61"/>
      <c r="G18" s="61"/>
      <c r="H18" s="61"/>
      <c r="I18" s="100" t="s">
        <v>9</v>
      </c>
      <c r="J18" s="101"/>
      <c r="K18" s="20" t="s">
        <v>34</v>
      </c>
      <c r="L18" s="117"/>
      <c r="M18" s="118"/>
      <c r="N18" s="119"/>
    </row>
    <row r="19" spans="1:16">
      <c r="A19" s="4"/>
      <c r="B19" s="10"/>
      <c r="C19" s="62" t="s">
        <v>56</v>
      </c>
      <c r="D19" s="102" t="s">
        <v>59</v>
      </c>
      <c r="E19" s="103"/>
      <c r="F19" s="61"/>
      <c r="G19" s="61"/>
      <c r="H19" s="61"/>
      <c r="I19" s="100" t="s">
        <v>10</v>
      </c>
      <c r="J19" s="101"/>
      <c r="K19" s="20" t="s">
        <v>35</v>
      </c>
      <c r="L19" s="117"/>
      <c r="M19" s="118"/>
      <c r="N19" s="119"/>
    </row>
    <row r="20" spans="1:16">
      <c r="A20" s="4"/>
      <c r="B20" s="10"/>
      <c r="C20" s="62" t="s">
        <v>57</v>
      </c>
      <c r="D20" s="102" t="s">
        <v>60</v>
      </c>
      <c r="E20" s="103"/>
      <c r="F20" s="61"/>
      <c r="G20" s="61"/>
      <c r="H20" s="61"/>
      <c r="I20" s="100" t="s">
        <v>8</v>
      </c>
      <c r="J20" s="101"/>
      <c r="K20" s="39" t="s">
        <v>36</v>
      </c>
      <c r="L20" s="117"/>
      <c r="M20" s="118"/>
      <c r="N20" s="119"/>
    </row>
    <row r="21" spans="1:16">
      <c r="A21" s="4"/>
      <c r="B21" s="10"/>
      <c r="C21" s="143" t="s">
        <v>32</v>
      </c>
      <c r="D21" s="144"/>
      <c r="E21" s="144"/>
      <c r="F21" s="144"/>
      <c r="G21" s="144"/>
      <c r="H21" s="144"/>
      <c r="I21" s="144"/>
      <c r="J21" s="145"/>
      <c r="K21" s="20" t="s">
        <v>33</v>
      </c>
      <c r="L21" s="117"/>
      <c r="M21" s="118"/>
      <c r="N21" s="119"/>
    </row>
    <row r="22" spans="1:16" hidden="1">
      <c r="A22" s="4"/>
      <c r="B22" s="10"/>
      <c r="C22" s="143"/>
      <c r="D22" s="144"/>
      <c r="E22" s="144"/>
      <c r="F22" s="144"/>
      <c r="G22" s="144"/>
      <c r="H22" s="144"/>
      <c r="I22" s="144"/>
      <c r="J22" s="145"/>
      <c r="K22" s="14"/>
      <c r="L22" s="42"/>
      <c r="M22" s="13"/>
      <c r="N22" s="11"/>
    </row>
    <row r="23" spans="1:16">
      <c r="A23" s="146" t="s">
        <v>18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</row>
    <row r="24" spans="1:16">
      <c r="A24" s="146" t="s">
        <v>19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32"/>
      <c r="P24" s="132"/>
    </row>
    <row r="25" spans="1:16" ht="21" customHeight="1">
      <c r="A25" s="107" t="s">
        <v>20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32"/>
      <c r="P25" s="132"/>
    </row>
    <row r="26" spans="1:16" ht="31.5" customHeight="1">
      <c r="A26" s="133" t="s">
        <v>39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5"/>
      <c r="O26" s="57" t="s">
        <v>21</v>
      </c>
      <c r="P26" s="57"/>
    </row>
    <row r="27" spans="1:16" ht="18" customHeight="1">
      <c r="A27" s="147" t="s">
        <v>63</v>
      </c>
      <c r="B27" s="142"/>
      <c r="C27" s="142"/>
      <c r="D27" s="142"/>
      <c r="E27" s="142"/>
      <c r="F27" s="142"/>
      <c r="G27" s="142"/>
      <c r="H27" s="142"/>
      <c r="I27" s="49" t="s">
        <v>37</v>
      </c>
      <c r="J27" s="56" t="str">
        <f>IF(O26= "1","P","")</f>
        <v/>
      </c>
      <c r="K27" s="48" t="s">
        <v>38</v>
      </c>
      <c r="L27" s="56" t="str">
        <f>IF(O26= "0","P","")</f>
        <v/>
      </c>
      <c r="M27" s="24"/>
      <c r="N27" s="40"/>
      <c r="O27" s="25"/>
      <c r="P27" s="25"/>
    </row>
    <row r="28" spans="1:16" ht="4.5" customHeight="1">
      <c r="A28" s="27"/>
      <c r="B28" s="28"/>
      <c r="C28" s="28"/>
      <c r="D28" s="28"/>
      <c r="E28" s="28"/>
      <c r="F28" s="28"/>
      <c r="G28" s="28"/>
      <c r="H28" s="28"/>
      <c r="I28" s="44"/>
      <c r="J28" s="47"/>
      <c r="K28" s="44"/>
      <c r="L28" s="47"/>
      <c r="M28" s="45"/>
      <c r="N28" s="46"/>
      <c r="O28" s="37"/>
      <c r="P28" s="37"/>
    </row>
    <row r="29" spans="1:16" ht="17.25" customHeight="1">
      <c r="A29" s="80" t="s">
        <v>51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2"/>
      <c r="O29" s="57" t="s">
        <v>52</v>
      </c>
      <c r="P29" s="57"/>
    </row>
    <row r="30" spans="1:16" ht="19.5" customHeight="1">
      <c r="D30" s="24"/>
      <c r="E30" s="24"/>
      <c r="F30" s="24"/>
      <c r="G30" s="24"/>
      <c r="H30" s="24"/>
      <c r="I30" s="49" t="s">
        <v>37</v>
      </c>
      <c r="J30" s="56" t="str">
        <f>IF(O29= "1","P","")</f>
        <v/>
      </c>
      <c r="K30" s="48" t="s">
        <v>38</v>
      </c>
      <c r="L30" s="56" t="str">
        <f>IF(O29= "0","P","")</f>
        <v/>
      </c>
      <c r="M30" s="24"/>
      <c r="N30" s="40"/>
      <c r="O30" s="55"/>
      <c r="P30" s="55"/>
    </row>
    <row r="31" spans="1:16" ht="18.75" customHeight="1">
      <c r="A31" s="83" t="s">
        <v>64</v>
      </c>
      <c r="B31" s="83"/>
      <c r="C31" s="83"/>
      <c r="D31" s="83"/>
      <c r="E31" s="83"/>
      <c r="F31" s="83"/>
      <c r="G31" s="83"/>
      <c r="H31" s="83"/>
      <c r="I31" s="83"/>
      <c r="J31" s="59"/>
      <c r="K31" s="58"/>
      <c r="L31" s="59"/>
      <c r="M31" s="24"/>
      <c r="N31" s="40"/>
      <c r="O31" s="55"/>
      <c r="P31" s="55"/>
    </row>
    <row r="32" spans="1:16" ht="21" customHeight="1">
      <c r="A32" s="80" t="s">
        <v>40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2"/>
      <c r="O32" s="57" t="s">
        <v>22</v>
      </c>
      <c r="P32" s="57"/>
    </row>
    <row r="33" spans="1:16" ht="21" customHeight="1">
      <c r="A33" s="142" t="s">
        <v>65</v>
      </c>
      <c r="B33" s="142"/>
      <c r="C33" s="142"/>
      <c r="D33" s="142"/>
      <c r="E33" s="142"/>
      <c r="F33" s="142"/>
      <c r="G33" s="142"/>
      <c r="H33" s="142"/>
      <c r="I33" s="49" t="s">
        <v>37</v>
      </c>
      <c r="J33" s="56" t="str">
        <f>IF(O32= "1","P","")</f>
        <v/>
      </c>
      <c r="K33" s="48" t="s">
        <v>38</v>
      </c>
      <c r="L33" s="56" t="str">
        <f>IF(O32= "0","P","")</f>
        <v/>
      </c>
      <c r="M33" s="24"/>
      <c r="N33" s="40"/>
      <c r="O33" s="23"/>
      <c r="P33" s="23"/>
    </row>
    <row r="34" spans="1:16" ht="0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4"/>
      <c r="O34" s="22"/>
      <c r="P34" s="22"/>
    </row>
    <row r="35" spans="1:16" ht="27.75" customHeight="1">
      <c r="A35" s="137" t="s">
        <v>14</v>
      </c>
      <c r="B35" s="137"/>
      <c r="C35" s="137"/>
      <c r="D35" s="32"/>
      <c r="E35" s="138" t="s">
        <v>14</v>
      </c>
      <c r="F35" s="138"/>
      <c r="G35" s="33"/>
      <c r="J35" s="139" t="s">
        <v>15</v>
      </c>
      <c r="K35" s="139"/>
      <c r="L35" s="34"/>
      <c r="M35" s="139"/>
      <c r="N35" s="139"/>
    </row>
    <row r="36" spans="1:16" s="6" customFormat="1" ht="27.75" customHeight="1">
      <c r="A36" s="140" t="s">
        <v>3</v>
      </c>
      <c r="B36" s="140"/>
      <c r="C36" s="140"/>
      <c r="D36" s="35"/>
      <c r="E36" s="141"/>
      <c r="F36" s="141"/>
      <c r="G36" s="36"/>
      <c r="J36" s="140" t="s">
        <v>4</v>
      </c>
      <c r="K36" s="140"/>
      <c r="L36" s="35"/>
      <c r="M36" s="140" t="s">
        <v>13</v>
      </c>
      <c r="N36" s="140"/>
    </row>
    <row r="37" spans="1:16" ht="78.75" customHeight="1">
      <c r="A37" s="106"/>
      <c r="B37" s="106"/>
      <c r="C37" s="106"/>
      <c r="D37" s="30"/>
      <c r="E37" s="7"/>
      <c r="J37" s="106"/>
      <c r="K37" s="106"/>
      <c r="L37" s="30"/>
      <c r="M37" s="106"/>
      <c r="N37" s="106"/>
    </row>
    <row r="38" spans="1:16" ht="29.25" customHeight="1">
      <c r="A38" s="136"/>
      <c r="B38" s="136"/>
      <c r="C38" s="136"/>
      <c r="D38" s="31"/>
      <c r="E38" s="8"/>
      <c r="J38" s="136"/>
      <c r="K38" s="136"/>
      <c r="L38" s="31"/>
      <c r="M38" s="136"/>
      <c r="N38" s="136"/>
    </row>
  </sheetData>
  <mergeCells count="58">
    <mergeCell ref="O24:P24"/>
    <mergeCell ref="C21:J21"/>
    <mergeCell ref="C22:J22"/>
    <mergeCell ref="A23:N23"/>
    <mergeCell ref="A24:N24"/>
    <mergeCell ref="L21:N21"/>
    <mergeCell ref="O25:P25"/>
    <mergeCell ref="A26:N26"/>
    <mergeCell ref="A32:N32"/>
    <mergeCell ref="A38:C38"/>
    <mergeCell ref="J38:K38"/>
    <mergeCell ref="M38:N38"/>
    <mergeCell ref="A35:C35"/>
    <mergeCell ref="E35:F35"/>
    <mergeCell ref="J35:K35"/>
    <mergeCell ref="M35:N35"/>
    <mergeCell ref="A36:C36"/>
    <mergeCell ref="E36:F36"/>
    <mergeCell ref="J36:K36"/>
    <mergeCell ref="M36:N36"/>
    <mergeCell ref="A37:C37"/>
    <mergeCell ref="J37:K37"/>
    <mergeCell ref="M37:N37"/>
    <mergeCell ref="A25:N25"/>
    <mergeCell ref="A8:N8"/>
    <mergeCell ref="C15:E15"/>
    <mergeCell ref="C16:E16"/>
    <mergeCell ref="C17:E17"/>
    <mergeCell ref="L19:N19"/>
    <mergeCell ref="L20:N20"/>
    <mergeCell ref="L18:N18"/>
    <mergeCell ref="I16:J16"/>
    <mergeCell ref="F15:G15"/>
    <mergeCell ref="F16:G16"/>
    <mergeCell ref="A9:N10"/>
    <mergeCell ref="A27:H27"/>
    <mergeCell ref="A31:I31"/>
    <mergeCell ref="A29:N29"/>
    <mergeCell ref="A34:N34"/>
    <mergeCell ref="M1:N1"/>
    <mergeCell ref="A3:N3"/>
    <mergeCell ref="A5:K5"/>
    <mergeCell ref="A6:K6"/>
    <mergeCell ref="A7:K7"/>
    <mergeCell ref="A4:N4"/>
    <mergeCell ref="I18:J18"/>
    <mergeCell ref="I19:J19"/>
    <mergeCell ref="I20:J20"/>
    <mergeCell ref="D18:E18"/>
    <mergeCell ref="D19:E19"/>
    <mergeCell ref="D20:E20"/>
    <mergeCell ref="I15:J15"/>
    <mergeCell ref="A33:H33"/>
    <mergeCell ref="L5:N5"/>
    <mergeCell ref="L6:N7"/>
    <mergeCell ref="L15:N15"/>
    <mergeCell ref="L16:N16"/>
    <mergeCell ref="B2:C2"/>
  </mergeCells>
  <printOptions horizontalCentered="1"/>
  <pageMargins left="0.11811023622047245" right="0.11811023622047245" top="0" bottom="0.59" header="0.11811023622047245" footer="0.11811023622047245"/>
  <pageSetup paperSize="9" scale="72" orientation="landscape" r:id="rId1"/>
  <headerFoot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0B58C7AB74E56340ACCC5ECA0717394F" ma:contentTypeVersion="20" ma:contentTypeDescription="Tạo tài liệu mới." ma:contentTypeScope="" ma:versionID="12a374572a76476a1f4e59333d0c2c0d">
  <xsd:schema xmlns:xsd="http://www.w3.org/2001/XMLSchema" xmlns:xs="http://www.w3.org/2001/XMLSchema" xmlns:p="http://schemas.microsoft.com/office/2006/metadata/properties" xmlns:ns2="aa60db74-763c-4849-8b45-590baeace842" xmlns:ns3="6af98ca3-f97a-48d2-8109-e155d39c7322" targetNamespace="http://schemas.microsoft.com/office/2006/metadata/properties" ma:root="true" ma:fieldsID="907bd1ecce9eec653fa7fc6d6bcdc183" ns2:_="" ns3:_="">
    <xsd:import namespace="aa60db74-763c-4849-8b45-590baeace842"/>
    <xsd:import namespace="6af98ca3-f97a-48d2-8109-e155d39c732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0db74-763c-4849-8b45-590baeace8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2716ed4-3913-46d8-b989-0a4c273e2482}" ma:internalName="TaxCatchAll" ma:showField="CatchAllData" ma:web="aa60db74-763c-4849-8b45-590baeace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98ca3-f97a-48d2-8109-e155d39c73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0e044b5d-06b6-4225-b16c-3c318cff9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98ca3-f97a-48d2-8109-e155d39c7322">
      <Terms xmlns="http://schemas.microsoft.com/office/infopath/2007/PartnerControls"/>
    </lcf76f155ced4ddcb4097134ff3c332f>
    <TaxCatchAll xmlns="aa60db74-763c-4849-8b45-590baeace8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E1C003-2736-45E0-9C78-DE3E086E1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60db74-763c-4849-8b45-590baeace842"/>
    <ds:schemaRef ds:uri="6af98ca3-f97a-48d2-8109-e155d39c7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7E4787-9412-44E9-B84D-9A37421C35A5}">
  <ds:schemaRefs>
    <ds:schemaRef ds:uri="http://schemas.microsoft.com/office/2006/metadata/properties"/>
    <ds:schemaRef ds:uri="http://schemas.microsoft.com/office/infopath/2007/PartnerControls"/>
    <ds:schemaRef ds:uri="6af98ca3-f97a-48d2-8109-e155d39c7322"/>
    <ds:schemaRef ds:uri="aa60db74-763c-4849-8b45-590baeace842"/>
  </ds:schemaRefs>
</ds:datastoreItem>
</file>

<file path=customXml/itemProps3.xml><?xml version="1.0" encoding="utf-8"?>
<ds:datastoreItem xmlns:ds="http://schemas.openxmlformats.org/officeDocument/2006/customXml" ds:itemID="{3A6AEAD3-C3EF-4A9F-AF00-FC5C14AB7E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DQC.NCPT.Dao Thi My Trinh</dc:creator>
  <cp:lastModifiedBy>Phong Nguyễn</cp:lastModifiedBy>
  <cp:lastPrinted>2025-08-27T08:12:38Z</cp:lastPrinted>
  <dcterms:created xsi:type="dcterms:W3CDTF">2023-07-14T04:43:11Z</dcterms:created>
  <dcterms:modified xsi:type="dcterms:W3CDTF">2026-08-06T02:50:50Z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0x0101000B58C7AB74E56340ACCC5ECA0717394F</vt:lpwstr>
  </property>
  <property fmtid="{D5CDD505-2E9C-101B-9397-08002B2CF9AE}" pid="3" name="MediaServiceImageTags">
    <vt:lpwstr/>
  </property>
</Properties>
</file>