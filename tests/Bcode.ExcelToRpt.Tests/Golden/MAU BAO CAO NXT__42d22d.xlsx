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vpn3\Downloads\"/>
    </mc:Choice>
  </mc:AlternateContent>
  <bookViews>
    <workbookView showHorizontalScroll="0" showVerticalScroll="0" showSheetTabs="0" xWindow="0" yWindow="0" windowWidth="19200" windowHeight="6930"/>
  </bookViews>
  <sheets>
    <sheet name="Mai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1" l="1"/>
  <c r="H78" i="1"/>
  <c r="D78" i="1"/>
  <c r="A78" i="1"/>
  <c r="A73" i="1"/>
  <c r="L70" i="1"/>
  <c r="K70" i="1"/>
  <c r="J70" i="1"/>
  <c r="I70" i="1"/>
  <c r="H70" i="1"/>
  <c r="G70" i="1"/>
  <c r="F70" i="1"/>
  <c r="E70" i="1"/>
</calcChain>
</file>

<file path=xl/sharedStrings.xml><?xml version="1.0" encoding="utf-8"?>
<sst xmlns="http://schemas.openxmlformats.org/spreadsheetml/2006/main" count="203" uniqueCount="157">
  <si>
    <t>CÔNG TY CỔ PHẦN PHÁT TRIỂN VÀ DỊCH VỤ NHÀ BẾN THÀNH</t>
  </si>
  <si>
    <t>65 Nguyễn Du, Phường Sài Gòn, TP Hồ Chí Minh, Việt Nam</t>
  </si>
  <si>
    <t>0300842751</t>
  </si>
  <si>
    <t>Stt</t>
  </si>
  <si>
    <t>Mã vật tư</t>
  </si>
  <si>
    <t>Tên vật tư</t>
  </si>
  <si>
    <t>Đvt</t>
  </si>
  <si>
    <t>Tồn đầu</t>
  </si>
  <si>
    <t>Nhập</t>
  </si>
  <si>
    <t>Xuất</t>
  </si>
  <si>
    <t>Tồn cuối</t>
  </si>
  <si>
    <t>Số lượng</t>
  </si>
  <si>
    <t>Giá trị</t>
  </si>
  <si>
    <t>Số lượng</t>
  </si>
  <si>
    <t>Giá trị</t>
  </si>
  <si>
    <t>Số lượng</t>
  </si>
  <si>
    <t>Giá trị</t>
  </si>
  <si>
    <t>Số lượng</t>
  </si>
  <si>
    <t>Giá trị</t>
  </si>
  <si>
    <t>Tổng cộng</t>
  </si>
  <si>
    <t>Ngày........tháng........năm................</t>
  </si>
  <si>
    <t>KẾ TOÁN TRƯỞNG</t>
  </si>
  <si>
    <t>(Ký, họ tên)</t>
  </si>
  <si>
    <t>Từ ngày 01/05/2026 đến ngày 31/05/2026</t>
  </si>
  <si>
    <t>21</t>
  </si>
  <si>
    <t>Vật tư</t>
  </si>
  <si>
    <t>152100014</t>
  </si>
  <si>
    <t>Cà phê hạt Quốc Lộc No 3 Robusta &amp; Arabica</t>
  </si>
  <si>
    <t>Kg</t>
  </si>
  <si>
    <t>152100015</t>
  </si>
  <si>
    <t>Cà phê hạt Quốc Lộc No4 100% Robusta</t>
  </si>
  <si>
    <t>152110019</t>
  </si>
  <si>
    <t>Trà lài bạch ngọc La'Bon 500g x 24</t>
  </si>
  <si>
    <t>Túi</t>
  </si>
  <si>
    <t>152110020</t>
  </si>
  <si>
    <t>Trà Oolong lục bảo La'Bon 500g x 32</t>
  </si>
  <si>
    <t>152200029</t>
  </si>
  <si>
    <t>Teisseire Lychee (ml)</t>
  </si>
  <si>
    <t>Chai</t>
  </si>
  <si>
    <t>152200041</t>
  </si>
  <si>
    <t>Siro Teisseire Đào</t>
  </si>
  <si>
    <t>152200042</t>
  </si>
  <si>
    <t>Siro Teisseire dừa</t>
  </si>
  <si>
    <t>152200051</t>
  </si>
  <si>
    <t>Siro teisseire vanilla</t>
  </si>
  <si>
    <t>152300007</t>
  </si>
  <si>
    <t>ICEHOT - Sốt Vị Caramel 1 Lít</t>
  </si>
  <si>
    <t>152310004</t>
  </si>
  <si>
    <t>Sinh tố vải 1L</t>
  </si>
  <si>
    <t>152310005</t>
  </si>
  <si>
    <t>Sinh tố Xoài và Dứa 1L</t>
  </si>
  <si>
    <t>152310007</t>
  </si>
  <si>
    <t>Sinh tố Berino Việt Quất 1L</t>
  </si>
  <si>
    <t>152410004</t>
  </si>
  <si>
    <t>Nước cốt dừa ChaoKoh</t>
  </si>
  <si>
    <t>Lon</t>
  </si>
  <si>
    <t>152500021</t>
  </si>
  <si>
    <t>Vải ngâm Thái xanh/Thanh hà-565g</t>
  </si>
  <si>
    <t>152500022</t>
  </si>
  <si>
    <t>Đào hộp Doddos Thái 820g</t>
  </si>
  <si>
    <t>152500023</t>
  </si>
  <si>
    <t>HẠT SEN ĐƯỜNG PHÈN ĐÓNG LON</t>
  </si>
  <si>
    <t>152800011</t>
  </si>
  <si>
    <t>Ly Nhựa PET 93 - 12/14oz (có in)</t>
  </si>
  <si>
    <t>Cái</t>
  </si>
  <si>
    <t>152800012</t>
  </si>
  <si>
    <t>Ly Nhựa PET 98 - 20oz (có in)</t>
  </si>
  <si>
    <t>152800024</t>
  </si>
  <si>
    <t>Nắp Nhựa Cầu PET 98 (T - Dấu thập)</t>
  </si>
  <si>
    <t>152800030</t>
  </si>
  <si>
    <t>Ống hút phi 6</t>
  </si>
  <si>
    <t>Gói</t>
  </si>
  <si>
    <t>152800038</t>
  </si>
  <si>
    <t>Seal tự dính-82mm</t>
  </si>
  <si>
    <t>152800039</t>
  </si>
  <si>
    <t>HU nhôm vặn-350ml-vàng</t>
  </si>
  <si>
    <t>Hủ</t>
  </si>
  <si>
    <t>152800084</t>
  </si>
  <si>
    <t>Túi Zip bạc mờ 500gr</t>
  </si>
  <si>
    <t>152800086</t>
  </si>
  <si>
    <t>Túi Zip đen mờ 500gr</t>
  </si>
  <si>
    <t>152800102</t>
  </si>
  <si>
    <t>Hộp thiếc_Giftset 2023</t>
  </si>
  <si>
    <t>152800120</t>
  </si>
  <si>
    <t>Túi giấy (9x5x17cm 2N)</t>
  </si>
  <si>
    <t>152800126</t>
  </si>
  <si>
    <t>Giấy nhiệt không in</t>
  </si>
  <si>
    <t>Cuộn</t>
  </si>
  <si>
    <t>152800131</t>
  </si>
  <si>
    <t>Túi giấy 2 bánh</t>
  </si>
  <si>
    <t>152800141</t>
  </si>
  <si>
    <t>Túi đóng gói 250gr</t>
  </si>
  <si>
    <t>152800142</t>
  </si>
  <si>
    <t>Nắp Nhựa Không Dùng Ống Hút PET 93 (T)</t>
  </si>
  <si>
    <t>152800143</t>
  </si>
  <si>
    <t>Bộ Hộp quà (Hộp quà tặng Gucafe_2025)</t>
  </si>
  <si>
    <t>Bộ</t>
  </si>
  <si>
    <t>152800145</t>
  </si>
  <si>
    <t>Giấy Chống Tràn</t>
  </si>
  <si>
    <t>Xấp</t>
  </si>
  <si>
    <t>152800148</t>
  </si>
  <si>
    <t>Túi PP 30 x 32 (túi 2 ly)</t>
  </si>
  <si>
    <t>152800153</t>
  </si>
  <si>
    <t>Nắp nhựa PP90 Premium - Nâu (Nắp ly giấy)</t>
  </si>
  <si>
    <t>cái</t>
  </si>
  <si>
    <t>152800154</t>
  </si>
  <si>
    <t>Ly giấy 2 lớp 14oz-90 và tem dán</t>
  </si>
  <si>
    <t>152800155</t>
  </si>
  <si>
    <t>Nĩa nhựa N003.03 -Trong</t>
  </si>
  <si>
    <t>152800156</t>
  </si>
  <si>
    <t>Muỗng nhựa PP M020 Xanh lá ( 100 cái/túi, 2500 cái/thùng )</t>
  </si>
  <si>
    <t>152800157</t>
  </si>
  <si>
    <t>Túi PP 24 x 34 (túi bánh)</t>
  </si>
  <si>
    <t>152810034</t>
  </si>
  <si>
    <t>Khăn giấy cocktail Japani</t>
  </si>
  <si>
    <t>152820012</t>
  </si>
  <si>
    <t>Que dấu</t>
  </si>
  <si>
    <t>Que</t>
  </si>
  <si>
    <t>152820016</t>
  </si>
  <si>
    <t>Phin Nhôm Xi Màu Vàng Đồng</t>
  </si>
  <si>
    <t>152820017</t>
  </si>
  <si>
    <t>Bộ ly cà phê (Bộ giftset Gucafe 2025)</t>
  </si>
  <si>
    <t>31</t>
  </si>
  <si>
    <t>CCLĐ</t>
  </si>
  <si>
    <t>153160471</t>
  </si>
  <si>
    <t>Ly thuỷ tinh, mã sản phẩm 214T</t>
  </si>
  <si>
    <t>153160472</t>
  </si>
  <si>
    <t>Chổi đánh matcha</t>
  </si>
  <si>
    <t>153160473</t>
  </si>
  <si>
    <t>Túi lọc trà</t>
  </si>
  <si>
    <t>153160490</t>
  </si>
  <si>
    <t>Choi co-Viet Hung06</t>
  </si>
  <si>
    <t>153160494</t>
  </si>
  <si>
    <t>Choi quet bui Souji Universal</t>
  </si>
  <si>
    <t>153160499</t>
  </si>
  <si>
    <t>Áo đồng phục</t>
  </si>
  <si>
    <t>153160501</t>
  </si>
  <si>
    <t>Ly Thủy Tinh</t>
  </si>
  <si>
    <t>153300654</t>
  </si>
  <si>
    <t>Ghế cabin truyền thống N</t>
  </si>
  <si>
    <t>153300655</t>
  </si>
  <si>
    <t>Bàn kim cương 59</t>
  </si>
  <si>
    <t>51</t>
  </si>
  <si>
    <t>Thành phẩm</t>
  </si>
  <si>
    <t>155100003</t>
  </si>
  <si>
    <t>PHẦN CÀ PHÊ - 200g đen</t>
  </si>
  <si>
    <t>155100008</t>
  </si>
  <si>
    <t>PHẦN CÀ PHÊ - 1000g đen</t>
  </si>
  <si>
    <t>155200039</t>
  </si>
  <si>
    <t>Bộ quà tặng GUCAFE</t>
  </si>
  <si>
    <t>155200040</t>
  </si>
  <si>
    <t>Combo Cà phê + Phin</t>
  </si>
  <si>
    <t>THỦ KHO</t>
  </si>
  <si>
    <t>PHÓ TỔNG GIÁM ĐỐC</t>
  </si>
  <si>
    <t>BÙI THỊ MỸ HOA</t>
  </si>
  <si>
    <t xml:space="preserve">      LÊ ĐỨC VƯƠNG</t>
  </si>
  <si>
    <t>BÁO CÁO NHẬP XUẤT TỒN THEO KHO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</si>
</sst>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\ ###"/>
    <numFmt numFmtId="168" formatCode="_(* #,##0.000_);_(* \(#,##0.000\);_(* &quot;&quot;_);_(@_)"/>
    <numFmt numFmtId="169" formatCode="_(* #,##0.000_);_(* \(#,##0.000\);_(@_)"/>
  </numFmts>
  <fonts count="1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68" fontId="2" fillId="0" borderId="5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right" vertical="center"/>
    </xf>
    <xf numFmtId="169" fontId="1" fillId="0" borderId="11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167" fontId="2" fillId="0" borderId="4" xfId="0" applyNumberFormat="1" applyFont="1" applyBorder="1" applyAlignment="1">
      <alignment horizontal="right" vertical="center" wrapText="1"/>
    </xf>
    <xf numFmtId="167" fontId="8" fillId="0" borderId="4" xfId="0" applyNumberFormat="1" applyFont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168" fontId="11" fillId="0" borderId="5" xfId="0" applyNumberFormat="1" applyFont="1" applyBorder="1" applyAlignment="1">
      <alignment horizontal="right" vertical="center" wrapText="1"/>
    </xf>
    <xf numFmtId="166" fontId="12" fillId="0" borderId="4" xfId="0" applyNumberFormat="1" applyFont="1" applyBorder="1" applyAlignment="1">
      <alignment horizontal="right" vertical="center" wrapText="1"/>
    </xf>
    <xf numFmtId="168" fontId="13" fillId="0" borderId="5" xfId="0" applyNumberFormat="1" applyFont="1" applyBorder="1" applyAlignment="1">
      <alignment horizontal="right" vertical="center" wrapText="1"/>
    </xf>
    <xf numFmtId="166" fontId="14" fillId="0" borderId="4" xfId="0" applyNumberFormat="1" applyFont="1" applyBorder="1" applyAlignment="1">
      <alignment horizontal="right" vertical="center" wrapText="1"/>
    </xf>
    <xf numFmtId="168" fontId="15" fillId="0" borderId="5" xfId="0" applyNumberFormat="1" applyFont="1" applyBorder="1" applyAlignment="1">
      <alignment horizontal="right" vertical="center" wrapText="1"/>
    </xf>
    <xf numFmtId="166" fontId="16" fillId="0" borderId="4" xfId="0" applyNumberFormat="1" applyFont="1" applyBorder="1" applyAlignment="1">
      <alignment horizontal="right" vertical="center" wrapText="1"/>
    </xf>
    <xf numFmtId="168" fontId="17" fillId="0" borderId="5" xfId="0" applyNumberFormat="1" applyFont="1" applyBorder="1" applyAlignment="1">
      <alignment horizontal="right" vertical="center" wrapText="1"/>
    </xf>
    <xf numFmtId="166" fontId="18" fillId="0" borderId="4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9"/>
  <sheetViews>
    <sheetView showGridLines="0" tabSelected="1" zoomScaleNormal="100" workbookViewId="0">
      <selection activeCell="R3" sqref="R3"/>
    </sheetView>
  </sheetViews>
  <sheetFormatPr defaultColWidth="9.1796875" defaultRowHeight="13" x14ac:dyDescent="0.35"/>
  <cols>
    <col min="1" max="1" width="4" style="2" customWidth="1"/>
    <col min="2" max="2" width="10" style="2" customWidth="1"/>
    <col min="3" max="3" width="19.81640625" style="2" customWidth="1"/>
    <col min="4" max="4" width="5.453125" style="2" customWidth="1"/>
    <col min="5" max="6" width="11" style="2" customWidth="1"/>
    <col min="7" max="8" width="10.81640625" style="2" customWidth="1"/>
    <col min="9" max="10" width="10.26953125" style="2" customWidth="1"/>
    <col min="11" max="11" width="10.1796875" style="2" customWidth="1"/>
    <col min="12" max="12" width="11.08984375" style="2" customWidth="1"/>
    <col min="13" max="13" width="10.1796875" style="12" hidden="1" customWidth="1"/>
    <col min="14" max="14" width="9.81640625" style="2" bestFit="1" customWidth="1"/>
    <col min="15" max="15" width="8" style="2" bestFit="1" customWidth="1"/>
    <col min="16" max="16384" width="9.1796875" style="2"/>
  </cols>
  <sheetData>
    <row r="1" spans="1:1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5">
      <c r="A2" s="2" t="s">
        <v>0</v>
      </c>
    </row>
    <row r="3" spans="1:13" x14ac:dyDescent="0.35">
      <c r="A3" s="2" t="s">
        <v>1</v>
      </c>
    </row>
    <row r="4" spans="1:13" x14ac:dyDescent="0.35">
      <c r="A4" s="2" t="s">
        <v>2</v>
      </c>
    </row>
    <row r="6" spans="1:13" ht="20" x14ac:dyDescent="0.35">
      <c r="A6" s="32" t="s">
        <v>156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3" x14ac:dyDescent="0.35">
      <c r="A7" s="33" t="s">
        <v>23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3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3" x14ac:dyDescent="0.35">
      <c r="A9" s="34" t="s">
        <v>3</v>
      </c>
      <c r="B9" s="36" t="s">
        <v>4</v>
      </c>
      <c r="C9" s="34" t="s">
        <v>5</v>
      </c>
      <c r="D9" s="34" t="s">
        <v>6</v>
      </c>
      <c r="E9" s="30" t="s">
        <v>7</v>
      </c>
      <c r="F9" s="31"/>
      <c r="G9" s="30" t="s">
        <v>8</v>
      </c>
      <c r="H9" s="31"/>
      <c r="I9" s="30" t="s">
        <v>9</v>
      </c>
      <c r="J9" s="31"/>
      <c r="K9" s="30" t="s">
        <v>10</v>
      </c>
      <c r="L9" s="31"/>
    </row>
    <row r="10" spans="1:13" x14ac:dyDescent="0.35">
      <c r="A10" s="35"/>
      <c r="B10" s="37"/>
      <c r="C10" s="35"/>
      <c r="D10" s="35"/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</row>
    <row r="11" spans="1:13" x14ac:dyDescent="0.35">
      <c r="A11" s="16"/>
      <c r="B11" s="17" t="s">
        <v>24</v>
      </c>
      <c r="C11" s="18" t="s">
        <v>25</v>
      </c>
      <c r="D11" s="3"/>
      <c r="E11" s="19">
        <v>20571.57</v>
      </c>
      <c r="F11" s="20">
        <v>238488802</v>
      </c>
      <c r="G11" s="21">
        <v>15036</v>
      </c>
      <c r="H11" s="22">
        <v>24226072</v>
      </c>
      <c r="I11" s="23">
        <v>31406.44</v>
      </c>
      <c r="J11" s="24">
        <v>58172741</v>
      </c>
      <c r="K11" s="25">
        <v>4201.13</v>
      </c>
      <c r="L11" s="26">
        <v>204542133</v>
      </c>
      <c r="M11" s="12">
        <v>0</v>
      </c>
    </row>
    <row r="12" spans="1:13" ht="26" x14ac:dyDescent="0.35">
      <c r="A12" s="15">
        <v>1</v>
      </c>
      <c r="B12" s="14" t="s">
        <v>26</v>
      </c>
      <c r="C12" s="3" t="s">
        <v>27</v>
      </c>
      <c r="D12" s="3" t="s">
        <v>28</v>
      </c>
      <c r="E12" s="6">
        <v>100.04</v>
      </c>
      <c r="F12" s="4">
        <v>21783028</v>
      </c>
      <c r="G12" s="6">
        <v>0</v>
      </c>
      <c r="H12" s="4">
        <v>0</v>
      </c>
      <c r="I12" s="6">
        <v>45.04</v>
      </c>
      <c r="J12" s="4">
        <v>9807155</v>
      </c>
      <c r="K12" s="6">
        <v>55</v>
      </c>
      <c r="L12" s="4">
        <v>11975873</v>
      </c>
      <c r="M12" s="12">
        <v>1</v>
      </c>
    </row>
    <row r="13" spans="1:13" ht="26" x14ac:dyDescent="0.35">
      <c r="A13" s="15">
        <v>2</v>
      </c>
      <c r="B13" s="14" t="s">
        <v>29</v>
      </c>
      <c r="C13" s="3" t="s">
        <v>30</v>
      </c>
      <c r="D13" s="3" t="s">
        <v>28</v>
      </c>
      <c r="E13" s="6">
        <v>2</v>
      </c>
      <c r="F13" s="4">
        <v>400636</v>
      </c>
      <c r="G13" s="6">
        <v>0</v>
      </c>
      <c r="H13" s="4">
        <v>0</v>
      </c>
      <c r="I13" s="6">
        <v>2</v>
      </c>
      <c r="J13" s="4">
        <v>400636</v>
      </c>
      <c r="K13" s="6">
        <v>0</v>
      </c>
      <c r="L13" s="4">
        <v>0</v>
      </c>
      <c r="M13" s="12">
        <v>1</v>
      </c>
    </row>
    <row r="14" spans="1:13" ht="26" hidden="1" x14ac:dyDescent="0.35">
      <c r="A14" s="15">
        <v>3</v>
      </c>
      <c r="B14" s="14" t="s">
        <v>31</v>
      </c>
      <c r="C14" s="3" t="s">
        <v>32</v>
      </c>
      <c r="D14" s="3" t="s">
        <v>33</v>
      </c>
      <c r="E14" s="6">
        <v>8.4</v>
      </c>
      <c r="F14" s="4">
        <v>614340</v>
      </c>
      <c r="G14" s="6">
        <v>0</v>
      </c>
      <c r="H14" s="4">
        <v>0</v>
      </c>
      <c r="I14" s="6">
        <v>8.4</v>
      </c>
      <c r="J14" s="4">
        <v>614340</v>
      </c>
      <c r="K14" s="6">
        <v>0</v>
      </c>
      <c r="L14" s="4">
        <v>0</v>
      </c>
      <c r="M14" s="12">
        <v>1</v>
      </c>
    </row>
    <row r="15" spans="1:13" ht="26" hidden="1" x14ac:dyDescent="0.35">
      <c r="A15" s="15">
        <v>4</v>
      </c>
      <c r="B15" s="14" t="s">
        <v>34</v>
      </c>
      <c r="C15" s="3" t="s">
        <v>35</v>
      </c>
      <c r="D15" s="3" t="s">
        <v>33</v>
      </c>
      <c r="E15" s="6">
        <v>4</v>
      </c>
      <c r="F15" s="4">
        <v>584585</v>
      </c>
      <c r="G15" s="6">
        <v>0</v>
      </c>
      <c r="H15" s="4">
        <v>0</v>
      </c>
      <c r="I15" s="6">
        <v>4</v>
      </c>
      <c r="J15" s="4">
        <v>584585</v>
      </c>
      <c r="K15" s="6">
        <v>0</v>
      </c>
      <c r="L15" s="4">
        <v>0</v>
      </c>
      <c r="M15" s="12">
        <v>1</v>
      </c>
    </row>
    <row r="16" spans="1:13" hidden="1" x14ac:dyDescent="0.35">
      <c r="A16" s="15">
        <v>5</v>
      </c>
      <c r="B16" s="14" t="s">
        <v>36</v>
      </c>
      <c r="C16" s="3" t="s">
        <v>37</v>
      </c>
      <c r="D16" s="3" t="s">
        <v>38</v>
      </c>
      <c r="E16" s="6">
        <v>3</v>
      </c>
      <c r="F16" s="4">
        <v>603000</v>
      </c>
      <c r="G16" s="6">
        <v>0</v>
      </c>
      <c r="H16" s="4">
        <v>0</v>
      </c>
      <c r="I16" s="6">
        <v>3</v>
      </c>
      <c r="J16" s="4">
        <v>603000</v>
      </c>
      <c r="K16" s="6">
        <v>0</v>
      </c>
      <c r="L16" s="4">
        <v>0</v>
      </c>
      <c r="M16" s="12">
        <v>1</v>
      </c>
    </row>
    <row r="17" spans="1:13" hidden="1" x14ac:dyDescent="0.35">
      <c r="A17" s="15">
        <v>6</v>
      </c>
      <c r="B17" s="14" t="s">
        <v>39</v>
      </c>
      <c r="C17" s="3" t="s">
        <v>40</v>
      </c>
      <c r="D17" s="3" t="s">
        <v>38</v>
      </c>
      <c r="E17" s="6">
        <v>4</v>
      </c>
      <c r="F17" s="4">
        <v>804000</v>
      </c>
      <c r="G17" s="6">
        <v>0</v>
      </c>
      <c r="H17" s="4">
        <v>0</v>
      </c>
      <c r="I17" s="6">
        <v>4</v>
      </c>
      <c r="J17" s="4">
        <v>804000</v>
      </c>
      <c r="K17" s="6">
        <v>0</v>
      </c>
      <c r="L17" s="4">
        <v>0</v>
      </c>
      <c r="M17" s="12">
        <v>1</v>
      </c>
    </row>
    <row r="18" spans="1:13" hidden="1" x14ac:dyDescent="0.35">
      <c r="A18" s="15">
        <v>7</v>
      </c>
      <c r="B18" s="14" t="s">
        <v>41</v>
      </c>
      <c r="C18" s="3" t="s">
        <v>42</v>
      </c>
      <c r="D18" s="3" t="s">
        <v>38</v>
      </c>
      <c r="E18" s="6">
        <v>2</v>
      </c>
      <c r="F18" s="4">
        <v>402000</v>
      </c>
      <c r="G18" s="6">
        <v>0</v>
      </c>
      <c r="H18" s="4">
        <v>0</v>
      </c>
      <c r="I18" s="6">
        <v>2</v>
      </c>
      <c r="J18" s="4">
        <v>402000</v>
      </c>
      <c r="K18" s="6">
        <v>0</v>
      </c>
      <c r="L18" s="4">
        <v>0</v>
      </c>
      <c r="M18" s="12">
        <v>1</v>
      </c>
    </row>
    <row r="19" spans="1:13" hidden="1" x14ac:dyDescent="0.35">
      <c r="A19" s="15">
        <v>8</v>
      </c>
      <c r="B19" s="14" t="s">
        <v>43</v>
      </c>
      <c r="C19" s="3" t="s">
        <v>44</v>
      </c>
      <c r="D19" s="3" t="s">
        <v>38</v>
      </c>
      <c r="E19" s="6">
        <v>4</v>
      </c>
      <c r="F19" s="4">
        <v>804000</v>
      </c>
      <c r="G19" s="6">
        <v>0</v>
      </c>
      <c r="H19" s="4">
        <v>0</v>
      </c>
      <c r="I19" s="6">
        <v>4</v>
      </c>
      <c r="J19" s="4">
        <v>804000</v>
      </c>
      <c r="K19" s="6">
        <v>0</v>
      </c>
      <c r="L19" s="4">
        <v>0</v>
      </c>
      <c r="M19" s="12">
        <v>1</v>
      </c>
    </row>
    <row r="20" spans="1:13" ht="26" hidden="1" x14ac:dyDescent="0.35">
      <c r="A20" s="15">
        <v>9</v>
      </c>
      <c r="B20" s="14" t="s">
        <v>45</v>
      </c>
      <c r="C20" s="3" t="s">
        <v>46</v>
      </c>
      <c r="D20" s="3" t="s">
        <v>38</v>
      </c>
      <c r="E20" s="6">
        <v>4</v>
      </c>
      <c r="F20" s="4">
        <v>601314</v>
      </c>
      <c r="G20" s="6">
        <v>0</v>
      </c>
      <c r="H20" s="4">
        <v>0</v>
      </c>
      <c r="I20" s="6">
        <v>4</v>
      </c>
      <c r="J20" s="4">
        <v>601314</v>
      </c>
      <c r="K20" s="6">
        <v>0</v>
      </c>
      <c r="L20" s="4">
        <v>0</v>
      </c>
      <c r="M20" s="12">
        <v>1</v>
      </c>
    </row>
    <row r="21" spans="1:13" hidden="1" x14ac:dyDescent="0.35">
      <c r="A21" s="15">
        <v>10</v>
      </c>
      <c r="B21" s="14" t="s">
        <v>47</v>
      </c>
      <c r="C21" s="3" t="s">
        <v>48</v>
      </c>
      <c r="D21" s="3" t="s">
        <v>38</v>
      </c>
      <c r="E21" s="6">
        <v>6</v>
      </c>
      <c r="F21" s="4">
        <v>726000</v>
      </c>
      <c r="G21" s="6">
        <v>0</v>
      </c>
      <c r="H21" s="4">
        <v>0</v>
      </c>
      <c r="I21" s="6">
        <v>6</v>
      </c>
      <c r="J21" s="4">
        <v>726000</v>
      </c>
      <c r="K21" s="6">
        <v>0</v>
      </c>
      <c r="L21" s="4">
        <v>0</v>
      </c>
      <c r="M21" s="12">
        <v>1</v>
      </c>
    </row>
    <row r="22" spans="1:13" hidden="1" x14ac:dyDescent="0.35">
      <c r="A22" s="15">
        <v>11</v>
      </c>
      <c r="B22" s="14" t="s">
        <v>49</v>
      </c>
      <c r="C22" s="3" t="s">
        <v>50</v>
      </c>
      <c r="D22" s="3" t="s">
        <v>38</v>
      </c>
      <c r="E22" s="6">
        <v>5</v>
      </c>
      <c r="F22" s="4">
        <v>440000</v>
      </c>
      <c r="G22" s="6">
        <v>0</v>
      </c>
      <c r="H22" s="4">
        <v>0</v>
      </c>
      <c r="I22" s="6">
        <v>5</v>
      </c>
      <c r="J22" s="4">
        <v>440000</v>
      </c>
      <c r="K22" s="6">
        <v>0</v>
      </c>
      <c r="L22" s="4">
        <v>0</v>
      </c>
      <c r="M22" s="12">
        <v>1</v>
      </c>
    </row>
    <row r="23" spans="1:13" hidden="1" x14ac:dyDescent="0.35">
      <c r="A23" s="15">
        <v>12</v>
      </c>
      <c r="B23" s="14" t="s">
        <v>51</v>
      </c>
      <c r="C23" s="3" t="s">
        <v>52</v>
      </c>
      <c r="D23" s="3" t="s">
        <v>38</v>
      </c>
      <c r="E23" s="6">
        <v>7</v>
      </c>
      <c r="F23" s="4">
        <v>826000</v>
      </c>
      <c r="G23" s="6">
        <v>0</v>
      </c>
      <c r="H23" s="4">
        <v>0</v>
      </c>
      <c r="I23" s="6">
        <v>7</v>
      </c>
      <c r="J23" s="4">
        <v>826000</v>
      </c>
      <c r="K23" s="6">
        <v>0</v>
      </c>
      <c r="L23" s="4">
        <v>0</v>
      </c>
      <c r="M23" s="12">
        <v>1</v>
      </c>
    </row>
    <row r="24" spans="1:13" hidden="1" x14ac:dyDescent="0.35">
      <c r="A24" s="15">
        <v>13</v>
      </c>
      <c r="B24" s="14" t="s">
        <v>53</v>
      </c>
      <c r="C24" s="3" t="s">
        <v>54</v>
      </c>
      <c r="D24" s="3" t="s">
        <v>55</v>
      </c>
      <c r="E24" s="6">
        <v>0</v>
      </c>
      <c r="F24" s="4">
        <v>0</v>
      </c>
      <c r="G24" s="6">
        <v>96</v>
      </c>
      <c r="H24" s="4">
        <v>4311072</v>
      </c>
      <c r="I24" s="6">
        <v>96</v>
      </c>
      <c r="J24" s="4">
        <v>4311072</v>
      </c>
      <c r="K24" s="6">
        <v>0</v>
      </c>
      <c r="L24" s="4">
        <v>0</v>
      </c>
      <c r="M24" s="12">
        <v>1</v>
      </c>
    </row>
    <row r="25" spans="1:13" ht="26" hidden="1" x14ac:dyDescent="0.35">
      <c r="A25" s="15">
        <v>14</v>
      </c>
      <c r="B25" s="14" t="s">
        <v>56</v>
      </c>
      <c r="C25" s="3" t="s">
        <v>57</v>
      </c>
      <c r="D25" s="3" t="s">
        <v>55</v>
      </c>
      <c r="E25" s="6">
        <v>24</v>
      </c>
      <c r="F25" s="4">
        <v>744000</v>
      </c>
      <c r="G25" s="6">
        <v>0</v>
      </c>
      <c r="H25" s="4">
        <v>0</v>
      </c>
      <c r="I25" s="6">
        <v>24</v>
      </c>
      <c r="J25" s="4">
        <v>744000</v>
      </c>
      <c r="K25" s="6">
        <v>0</v>
      </c>
      <c r="L25" s="4">
        <v>0</v>
      </c>
      <c r="M25" s="12">
        <v>1</v>
      </c>
    </row>
    <row r="26" spans="1:13" hidden="1" x14ac:dyDescent="0.35">
      <c r="A26" s="15">
        <v>15</v>
      </c>
      <c r="B26" s="14" t="s">
        <v>58</v>
      </c>
      <c r="C26" s="3" t="s">
        <v>59</v>
      </c>
      <c r="D26" s="3" t="s">
        <v>55</v>
      </c>
      <c r="E26" s="6">
        <v>12</v>
      </c>
      <c r="F26" s="4">
        <v>384000</v>
      </c>
      <c r="G26" s="6">
        <v>0</v>
      </c>
      <c r="H26" s="4">
        <v>0</v>
      </c>
      <c r="I26" s="6">
        <v>12</v>
      </c>
      <c r="J26" s="4">
        <v>384000</v>
      </c>
      <c r="K26" s="6">
        <v>0</v>
      </c>
      <c r="L26" s="4">
        <v>0</v>
      </c>
      <c r="M26" s="12">
        <v>1</v>
      </c>
    </row>
    <row r="27" spans="1:13" ht="26" hidden="1" x14ac:dyDescent="0.35">
      <c r="A27" s="15">
        <v>16</v>
      </c>
      <c r="B27" s="14" t="s">
        <v>60</v>
      </c>
      <c r="C27" s="3" t="s">
        <v>61</v>
      </c>
      <c r="D27" s="3" t="s">
        <v>55</v>
      </c>
      <c r="E27" s="6">
        <v>24</v>
      </c>
      <c r="F27" s="4">
        <v>1632000</v>
      </c>
      <c r="G27" s="6">
        <v>0</v>
      </c>
      <c r="H27" s="4">
        <v>0</v>
      </c>
      <c r="I27" s="6">
        <v>24</v>
      </c>
      <c r="J27" s="4">
        <v>1632000</v>
      </c>
      <c r="K27" s="6">
        <v>0</v>
      </c>
      <c r="L27" s="4">
        <v>0</v>
      </c>
      <c r="M27" s="12">
        <v>1</v>
      </c>
    </row>
    <row r="28" spans="1:13" ht="26" hidden="1" x14ac:dyDescent="0.35">
      <c r="A28" s="15">
        <v>17</v>
      </c>
      <c r="B28" s="14" t="s">
        <v>62</v>
      </c>
      <c r="C28" s="3" t="s">
        <v>63</v>
      </c>
      <c r="D28" s="3" t="s">
        <v>64</v>
      </c>
      <c r="E28" s="6">
        <v>5000</v>
      </c>
      <c r="F28" s="4">
        <v>3965000</v>
      </c>
      <c r="G28" s="6">
        <v>0</v>
      </c>
      <c r="H28" s="4">
        <v>0</v>
      </c>
      <c r="I28" s="6">
        <v>5000</v>
      </c>
      <c r="J28" s="4">
        <v>3965000</v>
      </c>
      <c r="K28" s="6">
        <v>0</v>
      </c>
      <c r="L28" s="4">
        <v>0</v>
      </c>
      <c r="M28" s="12">
        <v>1</v>
      </c>
    </row>
    <row r="29" spans="1:13" ht="26" hidden="1" x14ac:dyDescent="0.35">
      <c r="A29" s="15">
        <v>18</v>
      </c>
      <c r="B29" s="14" t="s">
        <v>65</v>
      </c>
      <c r="C29" s="3" t="s">
        <v>66</v>
      </c>
      <c r="D29" s="3" t="s">
        <v>64</v>
      </c>
      <c r="E29" s="6">
        <v>6000</v>
      </c>
      <c r="F29" s="4">
        <v>6078000</v>
      </c>
      <c r="G29" s="6">
        <v>0</v>
      </c>
      <c r="H29" s="4">
        <v>0</v>
      </c>
      <c r="I29" s="6">
        <v>6000</v>
      </c>
      <c r="J29" s="4">
        <v>6078000</v>
      </c>
      <c r="K29" s="6">
        <v>0</v>
      </c>
      <c r="L29" s="4">
        <v>0</v>
      </c>
      <c r="M29" s="12">
        <v>1</v>
      </c>
    </row>
    <row r="30" spans="1:13" ht="26" hidden="1" x14ac:dyDescent="0.35">
      <c r="A30" s="15">
        <v>19</v>
      </c>
      <c r="B30" s="14" t="s">
        <v>67</v>
      </c>
      <c r="C30" s="3" t="s">
        <v>68</v>
      </c>
      <c r="D30" s="3" t="s">
        <v>64</v>
      </c>
      <c r="E30" s="6">
        <v>2000</v>
      </c>
      <c r="F30" s="4">
        <v>546000</v>
      </c>
      <c r="G30" s="6">
        <v>0</v>
      </c>
      <c r="H30" s="4">
        <v>0</v>
      </c>
      <c r="I30" s="6">
        <v>2000</v>
      </c>
      <c r="J30" s="4">
        <v>546000</v>
      </c>
      <c r="K30" s="6">
        <v>0</v>
      </c>
      <c r="L30" s="4">
        <v>0</v>
      </c>
      <c r="M30" s="12">
        <v>1</v>
      </c>
    </row>
    <row r="31" spans="1:13" hidden="1" x14ac:dyDescent="0.35">
      <c r="A31" s="15">
        <v>20</v>
      </c>
      <c r="B31" s="14" t="s">
        <v>69</v>
      </c>
      <c r="C31" s="3" t="s">
        <v>70</v>
      </c>
      <c r="D31" s="3" t="s">
        <v>71</v>
      </c>
      <c r="E31" s="6">
        <v>0</v>
      </c>
      <c r="F31" s="4">
        <v>0</v>
      </c>
      <c r="G31" s="6">
        <v>10</v>
      </c>
      <c r="H31" s="4">
        <v>500000</v>
      </c>
      <c r="I31" s="6">
        <v>10</v>
      </c>
      <c r="J31" s="4">
        <v>500000</v>
      </c>
      <c r="K31" s="6">
        <v>0</v>
      </c>
      <c r="L31" s="4">
        <v>0</v>
      </c>
      <c r="M31" s="12">
        <v>1</v>
      </c>
    </row>
    <row r="32" spans="1:13" hidden="1" x14ac:dyDescent="0.35">
      <c r="A32" s="15">
        <v>21</v>
      </c>
      <c r="B32" s="14" t="s">
        <v>72</v>
      </c>
      <c r="C32" s="3" t="s">
        <v>73</v>
      </c>
      <c r="D32" s="3" t="s">
        <v>64</v>
      </c>
      <c r="E32" s="6">
        <v>96</v>
      </c>
      <c r="F32" s="4">
        <v>41280</v>
      </c>
      <c r="G32" s="6">
        <v>0</v>
      </c>
      <c r="H32" s="4">
        <v>0</v>
      </c>
      <c r="I32" s="6">
        <v>0</v>
      </c>
      <c r="J32" s="4">
        <v>0</v>
      </c>
      <c r="K32" s="6">
        <v>96</v>
      </c>
      <c r="L32" s="4">
        <v>41280</v>
      </c>
      <c r="M32" s="12">
        <v>1</v>
      </c>
    </row>
    <row r="33" spans="1:13" hidden="1" x14ac:dyDescent="0.35">
      <c r="A33" s="15">
        <v>22</v>
      </c>
      <c r="B33" s="14" t="s">
        <v>74</v>
      </c>
      <c r="C33" s="3" t="s">
        <v>75</v>
      </c>
      <c r="D33" s="3" t="s">
        <v>76</v>
      </c>
      <c r="E33" s="6">
        <v>46</v>
      </c>
      <c r="F33" s="4">
        <v>269727</v>
      </c>
      <c r="G33" s="6">
        <v>0</v>
      </c>
      <c r="H33" s="4">
        <v>0</v>
      </c>
      <c r="I33" s="6">
        <v>0</v>
      </c>
      <c r="J33" s="4">
        <v>0</v>
      </c>
      <c r="K33" s="6">
        <v>46</v>
      </c>
      <c r="L33" s="4">
        <v>269727</v>
      </c>
      <c r="M33" s="12">
        <v>1</v>
      </c>
    </row>
    <row r="34" spans="1:13" hidden="1" x14ac:dyDescent="0.35">
      <c r="A34" s="15">
        <v>23</v>
      </c>
      <c r="B34" s="14" t="s">
        <v>77</v>
      </c>
      <c r="C34" s="3" t="s">
        <v>78</v>
      </c>
      <c r="D34" s="3" t="s">
        <v>64</v>
      </c>
      <c r="E34" s="6">
        <v>96</v>
      </c>
      <c r="F34" s="4">
        <v>506667</v>
      </c>
      <c r="G34" s="6">
        <v>0</v>
      </c>
      <c r="H34" s="4">
        <v>0</v>
      </c>
      <c r="I34" s="6">
        <v>6</v>
      </c>
      <c r="J34" s="4">
        <v>31667</v>
      </c>
      <c r="K34" s="6">
        <v>90</v>
      </c>
      <c r="L34" s="4">
        <v>475000</v>
      </c>
      <c r="M34" s="12">
        <v>1</v>
      </c>
    </row>
    <row r="35" spans="1:13" hidden="1" x14ac:dyDescent="0.35">
      <c r="A35" s="15">
        <v>24</v>
      </c>
      <c r="B35" s="14" t="s">
        <v>79</v>
      </c>
      <c r="C35" s="3" t="s">
        <v>80</v>
      </c>
      <c r="D35" s="3" t="s">
        <v>64</v>
      </c>
      <c r="E35" s="6">
        <v>88</v>
      </c>
      <c r="F35" s="4">
        <v>464445</v>
      </c>
      <c r="G35" s="6">
        <v>0</v>
      </c>
      <c r="H35" s="4">
        <v>0</v>
      </c>
      <c r="I35" s="6">
        <v>0</v>
      </c>
      <c r="J35" s="4">
        <v>0</v>
      </c>
      <c r="K35" s="6">
        <v>88</v>
      </c>
      <c r="L35" s="4">
        <v>464445</v>
      </c>
      <c r="M35" s="12">
        <v>1</v>
      </c>
    </row>
    <row r="36" spans="1:13" hidden="1" x14ac:dyDescent="0.35">
      <c r="A36" s="15">
        <v>25</v>
      </c>
      <c r="B36" s="14" t="s">
        <v>81</v>
      </c>
      <c r="C36" s="3" t="s">
        <v>82</v>
      </c>
      <c r="D36" s="3" t="s">
        <v>64</v>
      </c>
      <c r="E36" s="6">
        <v>312</v>
      </c>
      <c r="F36" s="4">
        <v>6164565</v>
      </c>
      <c r="G36" s="6">
        <v>0</v>
      </c>
      <c r="H36" s="4">
        <v>0</v>
      </c>
      <c r="I36" s="6">
        <v>0</v>
      </c>
      <c r="J36" s="4">
        <v>0</v>
      </c>
      <c r="K36" s="6">
        <v>312</v>
      </c>
      <c r="L36" s="4">
        <v>6164565</v>
      </c>
      <c r="M36" s="12">
        <v>1</v>
      </c>
    </row>
    <row r="37" spans="1:13" hidden="1" x14ac:dyDescent="0.35">
      <c r="A37" s="15">
        <v>26</v>
      </c>
      <c r="B37" s="14" t="s">
        <v>83</v>
      </c>
      <c r="C37" s="3" t="s">
        <v>84</v>
      </c>
      <c r="D37" s="3" t="s">
        <v>64</v>
      </c>
      <c r="E37" s="6">
        <v>1000</v>
      </c>
      <c r="F37" s="4">
        <v>445000</v>
      </c>
      <c r="G37" s="6">
        <v>0</v>
      </c>
      <c r="H37" s="4">
        <v>0</v>
      </c>
      <c r="I37" s="6">
        <v>1000</v>
      </c>
      <c r="J37" s="4">
        <v>445000</v>
      </c>
      <c r="K37" s="6">
        <v>0</v>
      </c>
      <c r="L37" s="4">
        <v>0</v>
      </c>
      <c r="M37" s="12">
        <v>1</v>
      </c>
    </row>
    <row r="38" spans="1:13" hidden="1" x14ac:dyDescent="0.35">
      <c r="A38" s="15">
        <v>27</v>
      </c>
      <c r="B38" s="14" t="s">
        <v>85</v>
      </c>
      <c r="C38" s="3" t="s">
        <v>86</v>
      </c>
      <c r="D38" s="3" t="s">
        <v>87</v>
      </c>
      <c r="E38" s="6">
        <v>100</v>
      </c>
      <c r="F38" s="4">
        <v>680000</v>
      </c>
      <c r="G38" s="6">
        <v>0</v>
      </c>
      <c r="H38" s="4">
        <v>0</v>
      </c>
      <c r="I38" s="6">
        <v>100</v>
      </c>
      <c r="J38" s="4">
        <v>680000</v>
      </c>
      <c r="K38" s="6">
        <v>0</v>
      </c>
      <c r="L38" s="4">
        <v>0</v>
      </c>
      <c r="M38" s="12">
        <v>1</v>
      </c>
    </row>
    <row r="39" spans="1:13" hidden="1" x14ac:dyDescent="0.35">
      <c r="A39" s="15">
        <v>28</v>
      </c>
      <c r="B39" s="14" t="s">
        <v>88</v>
      </c>
      <c r="C39" s="3" t="s">
        <v>89</v>
      </c>
      <c r="D39" s="3" t="s">
        <v>64</v>
      </c>
      <c r="E39" s="6">
        <v>580</v>
      </c>
      <c r="F39" s="4">
        <v>4350000</v>
      </c>
      <c r="G39" s="6">
        <v>0</v>
      </c>
      <c r="H39" s="4">
        <v>0</v>
      </c>
      <c r="I39" s="6">
        <v>0</v>
      </c>
      <c r="J39" s="4">
        <v>0</v>
      </c>
      <c r="K39" s="6">
        <v>580</v>
      </c>
      <c r="L39" s="4">
        <v>4350000</v>
      </c>
      <c r="M39" s="12">
        <v>1</v>
      </c>
    </row>
    <row r="40" spans="1:13" hidden="1" x14ac:dyDescent="0.35">
      <c r="A40" s="15">
        <v>29</v>
      </c>
      <c r="B40" s="14" t="s">
        <v>90</v>
      </c>
      <c r="C40" s="3" t="s">
        <v>91</v>
      </c>
      <c r="D40" s="3" t="s">
        <v>64</v>
      </c>
      <c r="E40" s="6">
        <v>672</v>
      </c>
      <c r="F40" s="4">
        <v>2728320</v>
      </c>
      <c r="G40" s="6">
        <v>0</v>
      </c>
      <c r="H40" s="4">
        <v>0</v>
      </c>
      <c r="I40" s="6">
        <v>6</v>
      </c>
      <c r="J40" s="4">
        <v>24360</v>
      </c>
      <c r="K40" s="6">
        <v>666</v>
      </c>
      <c r="L40" s="4">
        <v>2703960</v>
      </c>
      <c r="M40" s="12">
        <v>1</v>
      </c>
    </row>
    <row r="41" spans="1:13" ht="26" hidden="1" x14ac:dyDescent="0.35">
      <c r="A41" s="15">
        <v>30</v>
      </c>
      <c r="B41" s="14" t="s">
        <v>92</v>
      </c>
      <c r="C41" s="3" t="s">
        <v>93</v>
      </c>
      <c r="D41" s="3" t="s">
        <v>64</v>
      </c>
      <c r="E41" s="6">
        <v>2000</v>
      </c>
      <c r="F41" s="4">
        <v>440000</v>
      </c>
      <c r="G41" s="6">
        <v>0</v>
      </c>
      <c r="H41" s="4">
        <v>0</v>
      </c>
      <c r="I41" s="6">
        <v>2000</v>
      </c>
      <c r="J41" s="4">
        <v>440000</v>
      </c>
      <c r="K41" s="6">
        <v>0</v>
      </c>
      <c r="L41" s="4">
        <v>0</v>
      </c>
      <c r="M41" s="12">
        <v>1</v>
      </c>
    </row>
    <row r="42" spans="1:13" ht="26" hidden="1" x14ac:dyDescent="0.35">
      <c r="A42" s="15">
        <v>31</v>
      </c>
      <c r="B42" s="14" t="s">
        <v>94</v>
      </c>
      <c r="C42" s="3" t="s">
        <v>95</v>
      </c>
      <c r="D42" s="3" t="s">
        <v>96</v>
      </c>
      <c r="E42" s="6">
        <v>709</v>
      </c>
      <c r="F42" s="4">
        <v>54947500</v>
      </c>
      <c r="G42" s="6">
        <v>0</v>
      </c>
      <c r="H42" s="4">
        <v>0</v>
      </c>
      <c r="I42" s="6">
        <v>4</v>
      </c>
      <c r="J42" s="4">
        <v>310000</v>
      </c>
      <c r="K42" s="6">
        <v>705</v>
      </c>
      <c r="L42" s="4">
        <v>54637500</v>
      </c>
      <c r="M42" s="12">
        <v>1</v>
      </c>
    </row>
    <row r="43" spans="1:13" hidden="1" x14ac:dyDescent="0.35">
      <c r="A43" s="15">
        <v>32</v>
      </c>
      <c r="B43" s="14" t="s">
        <v>97</v>
      </c>
      <c r="C43" s="3" t="s">
        <v>98</v>
      </c>
      <c r="D43" s="3" t="s">
        <v>99</v>
      </c>
      <c r="E43" s="6">
        <v>0</v>
      </c>
      <c r="F43" s="4">
        <v>0</v>
      </c>
      <c r="G43" s="6">
        <v>10</v>
      </c>
      <c r="H43" s="4">
        <v>360000</v>
      </c>
      <c r="I43" s="6">
        <v>10</v>
      </c>
      <c r="J43" s="4">
        <v>360000</v>
      </c>
      <c r="K43" s="6">
        <v>0</v>
      </c>
      <c r="L43" s="4">
        <v>0</v>
      </c>
      <c r="M43" s="12">
        <v>1</v>
      </c>
    </row>
    <row r="44" spans="1:13" hidden="1" x14ac:dyDescent="0.35">
      <c r="A44" s="15">
        <v>33</v>
      </c>
      <c r="B44" s="14" t="s">
        <v>100</v>
      </c>
      <c r="C44" s="3" t="s">
        <v>101</v>
      </c>
      <c r="D44" s="3" t="s">
        <v>28</v>
      </c>
      <c r="E44" s="6">
        <v>0</v>
      </c>
      <c r="F44" s="4">
        <v>0</v>
      </c>
      <c r="G44" s="6">
        <v>10</v>
      </c>
      <c r="H44" s="4">
        <v>550000</v>
      </c>
      <c r="I44" s="6">
        <v>10</v>
      </c>
      <c r="J44" s="4">
        <v>550000</v>
      </c>
      <c r="K44" s="6">
        <v>0</v>
      </c>
      <c r="L44" s="4">
        <v>0</v>
      </c>
      <c r="M44" s="12">
        <v>1</v>
      </c>
    </row>
    <row r="45" spans="1:13" ht="26" hidden="1" x14ac:dyDescent="0.35">
      <c r="A45" s="15">
        <v>34</v>
      </c>
      <c r="B45" s="14" t="s">
        <v>102</v>
      </c>
      <c r="C45" s="3" t="s">
        <v>103</v>
      </c>
      <c r="D45" s="3" t="s">
        <v>104</v>
      </c>
      <c r="E45" s="6">
        <v>0</v>
      </c>
      <c r="F45" s="4">
        <v>0</v>
      </c>
      <c r="G45" s="6">
        <v>5000</v>
      </c>
      <c r="H45" s="4">
        <v>3355000</v>
      </c>
      <c r="I45" s="6">
        <v>5000</v>
      </c>
      <c r="J45" s="4">
        <v>3355000</v>
      </c>
      <c r="K45" s="6">
        <v>0</v>
      </c>
      <c r="L45" s="4">
        <v>0</v>
      </c>
      <c r="M45" s="12">
        <v>1</v>
      </c>
    </row>
    <row r="46" spans="1:13" ht="26" hidden="1" x14ac:dyDescent="0.35">
      <c r="A46" s="15">
        <v>35</v>
      </c>
      <c r="B46" s="14" t="s">
        <v>105</v>
      </c>
      <c r="C46" s="3" t="s">
        <v>106</v>
      </c>
      <c r="D46" s="3" t="s">
        <v>104</v>
      </c>
      <c r="E46" s="6">
        <v>0</v>
      </c>
      <c r="F46" s="4">
        <v>0</v>
      </c>
      <c r="G46" s="6">
        <v>5000</v>
      </c>
      <c r="H46" s="4">
        <v>13275000</v>
      </c>
      <c r="I46" s="6">
        <v>5000</v>
      </c>
      <c r="J46" s="4">
        <v>13275000</v>
      </c>
      <c r="K46" s="6">
        <v>0</v>
      </c>
      <c r="L46" s="4">
        <v>0</v>
      </c>
      <c r="M46" s="12">
        <v>1</v>
      </c>
    </row>
    <row r="47" spans="1:13" hidden="1" x14ac:dyDescent="0.35">
      <c r="A47" s="15">
        <v>36</v>
      </c>
      <c r="B47" s="14" t="s">
        <v>107</v>
      </c>
      <c r="C47" s="3" t="s">
        <v>108</v>
      </c>
      <c r="D47" s="3" t="s">
        <v>104</v>
      </c>
      <c r="E47" s="6">
        <v>0</v>
      </c>
      <c r="F47" s="4">
        <v>0</v>
      </c>
      <c r="G47" s="6">
        <v>2400</v>
      </c>
      <c r="H47" s="4">
        <v>720000</v>
      </c>
      <c r="I47" s="6">
        <v>2400</v>
      </c>
      <c r="J47" s="4">
        <v>720000</v>
      </c>
      <c r="K47" s="6">
        <v>0</v>
      </c>
      <c r="L47" s="4">
        <v>0</v>
      </c>
      <c r="M47" s="12">
        <v>1</v>
      </c>
    </row>
    <row r="48" spans="1:13" ht="39" hidden="1" x14ac:dyDescent="0.35">
      <c r="A48" s="15">
        <v>37</v>
      </c>
      <c r="B48" s="14" t="s">
        <v>109</v>
      </c>
      <c r="C48" s="3" t="s">
        <v>110</v>
      </c>
      <c r="D48" s="3" t="s">
        <v>104</v>
      </c>
      <c r="E48" s="6">
        <v>0</v>
      </c>
      <c r="F48" s="4">
        <v>0</v>
      </c>
      <c r="G48" s="6">
        <v>2500</v>
      </c>
      <c r="H48" s="4">
        <v>625000</v>
      </c>
      <c r="I48" s="6">
        <v>2500</v>
      </c>
      <c r="J48" s="4">
        <v>625000</v>
      </c>
      <c r="K48" s="6">
        <v>0</v>
      </c>
      <c r="L48" s="4">
        <v>0</v>
      </c>
      <c r="M48" s="12">
        <v>1</v>
      </c>
    </row>
    <row r="49" spans="1:13" hidden="1" x14ac:dyDescent="0.35">
      <c r="A49" s="15">
        <v>38</v>
      </c>
      <c r="B49" s="14" t="s">
        <v>111</v>
      </c>
      <c r="C49" s="3" t="s">
        <v>112</v>
      </c>
      <c r="D49" s="3" t="s">
        <v>104</v>
      </c>
      <c r="E49" s="6">
        <v>0</v>
      </c>
      <c r="F49" s="4">
        <v>0</v>
      </c>
      <c r="G49" s="6">
        <v>10</v>
      </c>
      <c r="H49" s="4">
        <v>530000</v>
      </c>
      <c r="I49" s="6">
        <v>10</v>
      </c>
      <c r="J49" s="4">
        <v>530000</v>
      </c>
      <c r="K49" s="6">
        <v>0</v>
      </c>
      <c r="L49" s="4">
        <v>0</v>
      </c>
      <c r="M49" s="12">
        <v>1</v>
      </c>
    </row>
    <row r="50" spans="1:13" hidden="1" x14ac:dyDescent="0.35">
      <c r="A50" s="15">
        <v>39</v>
      </c>
      <c r="B50" s="14" t="s">
        <v>113</v>
      </c>
      <c r="C50" s="3" t="s">
        <v>114</v>
      </c>
      <c r="D50" s="3" t="s">
        <v>71</v>
      </c>
      <c r="E50" s="6">
        <v>90</v>
      </c>
      <c r="F50" s="4">
        <v>1170000</v>
      </c>
      <c r="G50" s="6">
        <v>0</v>
      </c>
      <c r="H50" s="4">
        <v>0</v>
      </c>
      <c r="I50" s="6">
        <v>90</v>
      </c>
      <c r="J50" s="4">
        <v>1170000</v>
      </c>
      <c r="K50" s="6">
        <v>0</v>
      </c>
      <c r="L50" s="4">
        <v>0</v>
      </c>
      <c r="M50" s="12">
        <v>1</v>
      </c>
    </row>
    <row r="51" spans="1:13" hidden="1" x14ac:dyDescent="0.35">
      <c r="A51" s="15">
        <v>40</v>
      </c>
      <c r="B51" s="14" t="s">
        <v>115</v>
      </c>
      <c r="C51" s="3" t="s">
        <v>116</v>
      </c>
      <c r="D51" s="3" t="s">
        <v>117</v>
      </c>
      <c r="E51" s="6">
        <v>191.13</v>
      </c>
      <c r="F51" s="4">
        <v>1911250</v>
      </c>
      <c r="G51" s="6">
        <v>0</v>
      </c>
      <c r="H51" s="4">
        <v>0</v>
      </c>
      <c r="I51" s="6">
        <v>0</v>
      </c>
      <c r="J51" s="4">
        <v>0</v>
      </c>
      <c r="K51" s="6">
        <v>191.13</v>
      </c>
      <c r="L51" s="4">
        <v>1911250</v>
      </c>
      <c r="M51" s="12">
        <v>1</v>
      </c>
    </row>
    <row r="52" spans="1:13" ht="26" hidden="1" x14ac:dyDescent="0.35">
      <c r="A52" s="15">
        <v>41</v>
      </c>
      <c r="B52" s="14" t="s">
        <v>118</v>
      </c>
      <c r="C52" s="3" t="s">
        <v>119</v>
      </c>
      <c r="D52" s="3" t="s">
        <v>96</v>
      </c>
      <c r="E52" s="6">
        <v>682</v>
      </c>
      <c r="F52" s="4">
        <v>59675000</v>
      </c>
      <c r="G52" s="6">
        <v>0</v>
      </c>
      <c r="H52" s="4">
        <v>0</v>
      </c>
      <c r="I52" s="6">
        <v>6</v>
      </c>
      <c r="J52" s="4">
        <v>525000</v>
      </c>
      <c r="K52" s="6">
        <v>676</v>
      </c>
      <c r="L52" s="4">
        <v>59150000</v>
      </c>
      <c r="M52" s="12">
        <v>1</v>
      </c>
    </row>
    <row r="53" spans="1:13" ht="26" hidden="1" x14ac:dyDescent="0.35">
      <c r="A53" s="15">
        <v>42</v>
      </c>
      <c r="B53" s="14" t="s">
        <v>120</v>
      </c>
      <c r="C53" s="3" t="s">
        <v>121</v>
      </c>
      <c r="D53" s="3" t="s">
        <v>64</v>
      </c>
      <c r="E53" s="6">
        <v>700</v>
      </c>
      <c r="F53" s="4">
        <v>62757145</v>
      </c>
      <c r="G53" s="6">
        <v>0</v>
      </c>
      <c r="H53" s="4">
        <v>0</v>
      </c>
      <c r="I53" s="6">
        <v>4</v>
      </c>
      <c r="J53" s="4">
        <v>358612</v>
      </c>
      <c r="K53" s="6">
        <v>696</v>
      </c>
      <c r="L53" s="4">
        <v>62398533</v>
      </c>
      <c r="M53" s="12">
        <v>1</v>
      </c>
    </row>
    <row r="54" spans="1:13" hidden="1" x14ac:dyDescent="0.35">
      <c r="A54" s="16"/>
      <c r="B54" s="17" t="s">
        <v>122</v>
      </c>
      <c r="C54" s="18" t="s">
        <v>123</v>
      </c>
      <c r="D54" s="3"/>
      <c r="E54" s="19">
        <v>86</v>
      </c>
      <c r="F54" s="20">
        <v>10633866</v>
      </c>
      <c r="G54" s="21">
        <v>0</v>
      </c>
      <c r="H54" s="22">
        <v>0</v>
      </c>
      <c r="I54" s="23">
        <v>0</v>
      </c>
      <c r="J54" s="24">
        <v>0</v>
      </c>
      <c r="K54" s="25">
        <v>86</v>
      </c>
      <c r="L54" s="26">
        <v>10633866</v>
      </c>
      <c r="M54" s="12">
        <v>0</v>
      </c>
    </row>
    <row r="55" spans="1:13" ht="26" hidden="1" x14ac:dyDescent="0.35">
      <c r="A55" s="15">
        <v>1</v>
      </c>
      <c r="B55" s="14" t="s">
        <v>124</v>
      </c>
      <c r="C55" s="3" t="s">
        <v>125</v>
      </c>
      <c r="D55" s="3" t="s">
        <v>64</v>
      </c>
      <c r="E55" s="6">
        <v>20</v>
      </c>
      <c r="F55" s="4">
        <v>690000</v>
      </c>
      <c r="G55" s="6">
        <v>0</v>
      </c>
      <c r="H55" s="4">
        <v>0</v>
      </c>
      <c r="I55" s="6">
        <v>0</v>
      </c>
      <c r="J55" s="4">
        <v>0</v>
      </c>
      <c r="K55" s="6">
        <v>20</v>
      </c>
      <c r="L55" s="4">
        <v>690000</v>
      </c>
      <c r="M55" s="12">
        <v>1</v>
      </c>
    </row>
    <row r="56" spans="1:13" hidden="1" x14ac:dyDescent="0.35">
      <c r="A56" s="15">
        <v>2</v>
      </c>
      <c r="B56" s="14" t="s">
        <v>126</v>
      </c>
      <c r="C56" s="3" t="s">
        <v>127</v>
      </c>
      <c r="D56" s="3" t="s">
        <v>64</v>
      </c>
      <c r="E56" s="6">
        <v>3</v>
      </c>
      <c r="F56" s="4">
        <v>374250</v>
      </c>
      <c r="G56" s="6">
        <v>0</v>
      </c>
      <c r="H56" s="4">
        <v>0</v>
      </c>
      <c r="I56" s="6">
        <v>0</v>
      </c>
      <c r="J56" s="4">
        <v>0</v>
      </c>
      <c r="K56" s="6">
        <v>3</v>
      </c>
      <c r="L56" s="4">
        <v>374250</v>
      </c>
      <c r="M56" s="12">
        <v>1</v>
      </c>
    </row>
    <row r="57" spans="1:13" hidden="1" x14ac:dyDescent="0.35">
      <c r="A57" s="15">
        <v>3</v>
      </c>
      <c r="B57" s="14" t="s">
        <v>128</v>
      </c>
      <c r="C57" s="3" t="s">
        <v>129</v>
      </c>
      <c r="D57" s="3" t="s">
        <v>64</v>
      </c>
      <c r="E57" s="6">
        <v>8</v>
      </c>
      <c r="F57" s="4">
        <v>119760</v>
      </c>
      <c r="G57" s="6">
        <v>0</v>
      </c>
      <c r="H57" s="4">
        <v>0</v>
      </c>
      <c r="I57" s="6">
        <v>0</v>
      </c>
      <c r="J57" s="4">
        <v>0</v>
      </c>
      <c r="K57" s="6">
        <v>8</v>
      </c>
      <c r="L57" s="4">
        <v>119760</v>
      </c>
      <c r="M57" s="12">
        <v>1</v>
      </c>
    </row>
    <row r="58" spans="1:13" hidden="1" x14ac:dyDescent="0.35">
      <c r="A58" s="15">
        <v>4</v>
      </c>
      <c r="B58" s="14" t="s">
        <v>130</v>
      </c>
      <c r="C58" s="3" t="s">
        <v>131</v>
      </c>
      <c r="D58" s="3" t="s">
        <v>64</v>
      </c>
      <c r="E58" s="6">
        <v>1</v>
      </c>
      <c r="F58" s="4">
        <v>59524</v>
      </c>
      <c r="G58" s="6">
        <v>0</v>
      </c>
      <c r="H58" s="4">
        <v>0</v>
      </c>
      <c r="I58" s="6">
        <v>0</v>
      </c>
      <c r="J58" s="4">
        <v>0</v>
      </c>
      <c r="K58" s="6">
        <v>1</v>
      </c>
      <c r="L58" s="4">
        <v>59524</v>
      </c>
      <c r="M58" s="12">
        <v>1</v>
      </c>
    </row>
    <row r="59" spans="1:13" hidden="1" x14ac:dyDescent="0.35">
      <c r="A59" s="15">
        <v>5</v>
      </c>
      <c r="B59" s="14" t="s">
        <v>132</v>
      </c>
      <c r="C59" s="3" t="s">
        <v>133</v>
      </c>
      <c r="D59" s="3" t="s">
        <v>64</v>
      </c>
      <c r="E59" s="6">
        <v>1</v>
      </c>
      <c r="F59" s="4">
        <v>58333</v>
      </c>
      <c r="G59" s="6">
        <v>0</v>
      </c>
      <c r="H59" s="4">
        <v>0</v>
      </c>
      <c r="I59" s="6">
        <v>0</v>
      </c>
      <c r="J59" s="4">
        <v>0</v>
      </c>
      <c r="K59" s="6">
        <v>1</v>
      </c>
      <c r="L59" s="4">
        <v>58333</v>
      </c>
      <c r="M59" s="12">
        <v>1</v>
      </c>
    </row>
    <row r="60" spans="1:13" hidden="1" x14ac:dyDescent="0.35">
      <c r="A60" s="15">
        <v>6</v>
      </c>
      <c r="B60" s="14" t="s">
        <v>134</v>
      </c>
      <c r="C60" s="3" t="s">
        <v>135</v>
      </c>
      <c r="D60" s="3" t="s">
        <v>64</v>
      </c>
      <c r="E60" s="6">
        <v>38</v>
      </c>
      <c r="F60" s="4">
        <v>6650000</v>
      </c>
      <c r="G60" s="6">
        <v>0</v>
      </c>
      <c r="H60" s="4">
        <v>0</v>
      </c>
      <c r="I60" s="6">
        <v>0</v>
      </c>
      <c r="J60" s="4">
        <v>0</v>
      </c>
      <c r="K60" s="6">
        <v>38</v>
      </c>
      <c r="L60" s="4">
        <v>6650000</v>
      </c>
      <c r="M60" s="12">
        <v>1</v>
      </c>
    </row>
    <row r="61" spans="1:13" hidden="1" x14ac:dyDescent="0.35">
      <c r="A61" s="15">
        <v>7</v>
      </c>
      <c r="B61" s="14" t="s">
        <v>136</v>
      </c>
      <c r="C61" s="3" t="s">
        <v>137</v>
      </c>
      <c r="D61" s="3" t="s">
        <v>64</v>
      </c>
      <c r="E61" s="6">
        <v>2</v>
      </c>
      <c r="F61" s="4">
        <v>231999</v>
      </c>
      <c r="G61" s="6">
        <v>0</v>
      </c>
      <c r="H61" s="4">
        <v>0</v>
      </c>
      <c r="I61" s="6">
        <v>0</v>
      </c>
      <c r="J61" s="4">
        <v>0</v>
      </c>
      <c r="K61" s="6">
        <v>2</v>
      </c>
      <c r="L61" s="4">
        <v>231999</v>
      </c>
      <c r="M61" s="12">
        <v>1</v>
      </c>
    </row>
    <row r="62" spans="1:13" hidden="1" x14ac:dyDescent="0.35">
      <c r="A62" s="15">
        <v>8</v>
      </c>
      <c r="B62" s="14" t="s">
        <v>138</v>
      </c>
      <c r="C62" s="3" t="s">
        <v>139</v>
      </c>
      <c r="D62" s="3" t="s">
        <v>64</v>
      </c>
      <c r="E62" s="6">
        <v>10</v>
      </c>
      <c r="F62" s="4">
        <v>1850000</v>
      </c>
      <c r="G62" s="6">
        <v>0</v>
      </c>
      <c r="H62" s="4">
        <v>0</v>
      </c>
      <c r="I62" s="6">
        <v>0</v>
      </c>
      <c r="J62" s="4">
        <v>0</v>
      </c>
      <c r="K62" s="6">
        <v>10</v>
      </c>
      <c r="L62" s="4">
        <v>1850000</v>
      </c>
      <c r="M62" s="12">
        <v>1</v>
      </c>
    </row>
    <row r="63" spans="1:13" hidden="1" x14ac:dyDescent="0.35">
      <c r="A63" s="15">
        <v>9</v>
      </c>
      <c r="B63" s="14" t="s">
        <v>140</v>
      </c>
      <c r="C63" s="3" t="s">
        <v>141</v>
      </c>
      <c r="D63" s="3" t="s">
        <v>64</v>
      </c>
      <c r="E63" s="6">
        <v>3</v>
      </c>
      <c r="F63" s="4">
        <v>600000</v>
      </c>
      <c r="G63" s="6">
        <v>0</v>
      </c>
      <c r="H63" s="4">
        <v>0</v>
      </c>
      <c r="I63" s="6">
        <v>0</v>
      </c>
      <c r="J63" s="4">
        <v>0</v>
      </c>
      <c r="K63" s="6">
        <v>3</v>
      </c>
      <c r="L63" s="4">
        <v>600000</v>
      </c>
      <c r="M63" s="12">
        <v>1</v>
      </c>
    </row>
    <row r="64" spans="1:13" hidden="1" x14ac:dyDescent="0.35">
      <c r="A64" s="16"/>
      <c r="B64" s="17" t="s">
        <v>142</v>
      </c>
      <c r="C64" s="18" t="s">
        <v>143</v>
      </c>
      <c r="D64" s="3"/>
      <c r="E64" s="19">
        <v>0</v>
      </c>
      <c r="F64" s="20">
        <v>0</v>
      </c>
      <c r="G64" s="21">
        <v>9</v>
      </c>
      <c r="H64" s="22">
        <v>2076662</v>
      </c>
      <c r="I64" s="23">
        <v>9</v>
      </c>
      <c r="J64" s="24">
        <v>2076662</v>
      </c>
      <c r="K64" s="25">
        <v>0</v>
      </c>
      <c r="L64" s="26">
        <v>0</v>
      </c>
      <c r="M64" s="12">
        <v>0</v>
      </c>
    </row>
    <row r="65" spans="1:13" hidden="1" x14ac:dyDescent="0.35">
      <c r="A65" s="15">
        <v>1</v>
      </c>
      <c r="B65" s="14" t="s">
        <v>144</v>
      </c>
      <c r="C65" s="3" t="s">
        <v>145</v>
      </c>
      <c r="D65" s="3" t="s">
        <v>64</v>
      </c>
      <c r="E65" s="6">
        <v>0</v>
      </c>
      <c r="F65" s="4">
        <v>0</v>
      </c>
      <c r="G65" s="6">
        <v>1</v>
      </c>
      <c r="H65" s="4">
        <v>47609</v>
      </c>
      <c r="I65" s="6">
        <v>1</v>
      </c>
      <c r="J65" s="4">
        <v>47609</v>
      </c>
      <c r="K65" s="6">
        <v>0</v>
      </c>
      <c r="L65" s="4">
        <v>0</v>
      </c>
      <c r="M65" s="12">
        <v>1</v>
      </c>
    </row>
    <row r="66" spans="1:13" hidden="1" x14ac:dyDescent="0.35">
      <c r="A66" s="15">
        <v>2</v>
      </c>
      <c r="B66" s="14" t="s">
        <v>146</v>
      </c>
      <c r="C66" s="3" t="s">
        <v>147</v>
      </c>
      <c r="D66" s="3" t="s">
        <v>64</v>
      </c>
      <c r="E66" s="6">
        <v>0</v>
      </c>
      <c r="F66" s="4">
        <v>0</v>
      </c>
      <c r="G66" s="6">
        <v>3</v>
      </c>
      <c r="H66" s="4">
        <v>684897</v>
      </c>
      <c r="I66" s="6">
        <v>3</v>
      </c>
      <c r="J66" s="4">
        <v>684897</v>
      </c>
      <c r="K66" s="6">
        <v>0</v>
      </c>
      <c r="L66" s="4">
        <v>0</v>
      </c>
      <c r="M66" s="12">
        <v>1</v>
      </c>
    </row>
    <row r="67" spans="1:13" hidden="1" x14ac:dyDescent="0.35">
      <c r="A67" s="15">
        <v>3</v>
      </c>
      <c r="B67" s="14" t="s">
        <v>148</v>
      </c>
      <c r="C67" s="3" t="s">
        <v>149</v>
      </c>
      <c r="D67" s="3" t="s">
        <v>96</v>
      </c>
      <c r="E67" s="6">
        <v>0</v>
      </c>
      <c r="F67" s="4">
        <v>0</v>
      </c>
      <c r="G67" s="6">
        <v>4</v>
      </c>
      <c r="H67" s="4">
        <v>1209047</v>
      </c>
      <c r="I67" s="6">
        <v>4</v>
      </c>
      <c r="J67" s="4">
        <v>1209047</v>
      </c>
      <c r="K67" s="6">
        <v>0</v>
      </c>
      <c r="L67" s="4">
        <v>0</v>
      </c>
      <c r="M67" s="12">
        <v>1</v>
      </c>
    </row>
    <row r="68" spans="1:13" hidden="1" x14ac:dyDescent="0.35">
      <c r="A68" s="15">
        <v>4</v>
      </c>
      <c r="B68" s="14" t="s">
        <v>150</v>
      </c>
      <c r="C68" s="3" t="s">
        <v>151</v>
      </c>
      <c r="D68" s="3" t="s">
        <v>96</v>
      </c>
      <c r="E68" s="6">
        <v>0</v>
      </c>
      <c r="F68" s="4">
        <v>0</v>
      </c>
      <c r="G68" s="6">
        <v>1</v>
      </c>
      <c r="H68" s="4">
        <v>135109</v>
      </c>
      <c r="I68" s="6">
        <v>1</v>
      </c>
      <c r="J68" s="4">
        <v>135109</v>
      </c>
      <c r="K68" s="6">
        <v>0</v>
      </c>
      <c r="L68" s="4">
        <v>0</v>
      </c>
      <c r="M68" s="12">
        <v>1</v>
      </c>
    </row>
    <row r="69" spans="1:13" hidden="1" x14ac:dyDescent="0.3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</row>
    <row r="70" spans="1:13" x14ac:dyDescent="0.35">
      <c r="A70" s="39" t="s">
        <v>19</v>
      </c>
      <c r="B70" s="39"/>
      <c r="C70" s="39"/>
      <c r="D70" s="39"/>
      <c r="E70" s="10">
        <f xml:space="preserve"> SUMIF($M$11:M68, 1, $E$11:E68)</f>
        <v>20657.57</v>
      </c>
      <c r="F70" s="11">
        <f xml:space="preserve"> SUMIF($M$11:M68, 1, $F$11:F68)</f>
        <v>249122668</v>
      </c>
      <c r="G70" s="10">
        <f xml:space="preserve"> SUMIF($M$11:M68, 1, $G$11:G68)</f>
        <v>15045</v>
      </c>
      <c r="H70" s="11">
        <f xml:space="preserve"> SUMIF($M$11:M68, 1, $H$11:H68)</f>
        <v>26302734</v>
      </c>
      <c r="I70" s="10">
        <f xml:space="preserve"> SUMIF($M$11:M68, 1, $I$11:I68)</f>
        <v>31415.439999999999</v>
      </c>
      <c r="J70" s="11">
        <f xml:space="preserve"> SUMIF($M$11:M68, 1, $J$11:J68)</f>
        <v>60249403</v>
      </c>
      <c r="K70" s="10">
        <f xml:space="preserve"> SUMIF($M$11:M68, 1, $K$11:K68)</f>
        <v>4287.13</v>
      </c>
      <c r="L70" s="11">
        <f xml:space="preserve"> SUMIF($M$11:M68, 1, $L$11:L68)</f>
        <v>215175999</v>
      </c>
    </row>
    <row r="72" spans="1:13" x14ac:dyDescent="0.35">
      <c r="J72" s="38" t="s">
        <v>20</v>
      </c>
      <c r="K72" s="38"/>
      <c r="L72" s="38"/>
    </row>
    <row r="73" spans="1:13" x14ac:dyDescent="0.25">
      <c r="A73" s="40" t="str">
        <f>IF($L$5="88", "NGƯỜI GIAO HÀNG", "NGƯỜI LẬP")</f>
        <v>NGƯỜI LẬP</v>
      </c>
      <c r="B73" s="40"/>
      <c r="C73" s="40"/>
      <c r="D73" s="40" t="s">
        <v>152</v>
      </c>
      <c r="E73" s="40"/>
      <c r="F73" s="40"/>
      <c r="G73" s="40"/>
      <c r="H73" s="40" t="s">
        <v>21</v>
      </c>
      <c r="I73" s="40"/>
      <c r="J73" s="40"/>
      <c r="K73" s="40" t="s">
        <v>153</v>
      </c>
      <c r="L73" s="40"/>
    </row>
    <row r="74" spans="1:13" x14ac:dyDescent="0.25">
      <c r="A74" s="41" t="s">
        <v>22</v>
      </c>
      <c r="B74" s="41"/>
      <c r="C74" s="41"/>
      <c r="D74" s="41" t="s">
        <v>22</v>
      </c>
      <c r="E74" s="41"/>
      <c r="F74" s="41"/>
      <c r="G74" s="41"/>
      <c r="H74" s="41" t="s">
        <v>22</v>
      </c>
      <c r="I74" s="41"/>
      <c r="J74" s="41"/>
      <c r="K74" s="41" t="s">
        <v>22</v>
      </c>
      <c r="L74" s="41"/>
    </row>
    <row r="75" spans="1:13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3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3" x14ac:dyDescent="0.3">
      <c r="A77" s="28"/>
      <c r="B77" s="28"/>
      <c r="C77" s="28"/>
      <c r="D77" s="28"/>
      <c r="E77" s="28"/>
      <c r="F77" s="28"/>
      <c r="G77" s="29"/>
      <c r="H77" s="28"/>
      <c r="I77" s="28"/>
      <c r="J77" s="29"/>
      <c r="K77" s="28"/>
      <c r="L77" s="28"/>
    </row>
    <row r="78" spans="1:13" x14ac:dyDescent="0.25">
      <c r="A78" s="40" t="str">
        <f>IF($L$5="88", "", "")</f>
        <v/>
      </c>
      <c r="B78" s="40"/>
      <c r="C78" s="40"/>
      <c r="D78" s="40" t="str">
        <f>IF($L$5="88", "", "")</f>
        <v/>
      </c>
      <c r="E78" s="40"/>
      <c r="F78" s="40"/>
      <c r="G78" s="40"/>
      <c r="H78" s="40" t="str">
        <f>IF($L$5="88", "", "")</f>
        <v/>
      </c>
      <c r="I78" s="40"/>
      <c r="J78" s="40"/>
      <c r="K78" s="40" t="str">
        <f>IF($L$5="88", "", "")</f>
        <v/>
      </c>
      <c r="L78" s="40"/>
    </row>
    <row r="79" spans="1:13" x14ac:dyDescent="0.3">
      <c r="A79" s="42"/>
      <c r="B79" s="42"/>
      <c r="C79" s="42"/>
      <c r="D79" s="42"/>
      <c r="E79" s="42"/>
      <c r="F79" s="42"/>
      <c r="G79" s="42"/>
      <c r="H79" s="42" t="s">
        <v>154</v>
      </c>
      <c r="I79" s="42"/>
      <c r="J79" s="42"/>
      <c r="K79" s="43" t="s">
        <v>155</v>
      </c>
      <c r="L79" s="43"/>
    </row>
  </sheetData>
  <mergeCells count="28">
    <mergeCell ref="A78:C78"/>
    <mergeCell ref="D78:G78"/>
    <mergeCell ref="H78:J78"/>
    <mergeCell ref="K78:L78"/>
    <mergeCell ref="A79:C79"/>
    <mergeCell ref="D79:G79"/>
    <mergeCell ref="H79:J79"/>
    <mergeCell ref="K79:L79"/>
    <mergeCell ref="J72:L72"/>
    <mergeCell ref="A70:D70"/>
    <mergeCell ref="A73:C73"/>
    <mergeCell ref="A74:C74"/>
    <mergeCell ref="D73:G73"/>
    <mergeCell ref="H73:J73"/>
    <mergeCell ref="K73:L73"/>
    <mergeCell ref="D74:G74"/>
    <mergeCell ref="H74:J74"/>
    <mergeCell ref="K74:L74"/>
    <mergeCell ref="G9:H9"/>
    <mergeCell ref="I9:J9"/>
    <mergeCell ref="K9:L9"/>
    <mergeCell ref="A6:L6"/>
    <mergeCell ref="A7:L7"/>
    <mergeCell ref="A9:A10"/>
    <mergeCell ref="B9:B10"/>
    <mergeCell ref="C9:C10"/>
    <mergeCell ref="D9:D10"/>
    <mergeCell ref="E9:F9"/>
  </mergeCells>
  <pageMargins left="0.7" right="0.45" top="0.55000000000000004" bottom="0.49" header="0.3" footer="0.3"/>
  <pageSetup paperSize="9"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4AEB1564F9B41A9B343DED36816F6" ma:contentTypeVersion="3" ma:contentTypeDescription="Create a new document." ma:contentTypeScope="" ma:versionID="54a63fbac0144f03abcdb53c5d7e0e19">
  <xsd:schema xmlns:xsd="http://www.w3.org/2001/XMLSchema" xmlns:xs="http://www.w3.org/2001/XMLSchema" xmlns:p="http://schemas.microsoft.com/office/2006/metadata/properties" xmlns:ns2="83ac270c-46bc-423b-9926-40c14aa0d2d0" targetNamespace="http://schemas.microsoft.com/office/2006/metadata/properties" ma:root="true" ma:fieldsID="8c04e02250894a928a3ed6d5cf3e4676" ns2:_="">
    <xsd:import namespace="83ac270c-46bc-423b-9926-40c14aa0d2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c270c-46bc-423b-9926-40c14aa0d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9AC016-F78C-4DA4-B68E-A531F56520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A1A2C-2613-45E6-B169-C15C0FB6CE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ac270c-46bc-423b-9926-40c14aa0d2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A3347B-7895-43A1-A925-3A764E84832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NAMDVP | TK2 | FAST</cp:lastModifiedBy>
  <cp:lastPrinted>2026-06-23T01:41:33Z</cp:lastPrinted>
  <dcterms:created xsi:type="dcterms:W3CDTF">2011-07-29T01:01:31Z</dcterms:created>
  <dcterms:modified xsi:type="dcterms:W3CDTF">2026-06-24T09:37:50Z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0x0101001454AEB1564F9B41A9B343DED36816F6</vt:lpwstr>
  </property>
</Properties>
</file>